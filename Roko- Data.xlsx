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subscriber monthly" sheetId="2" r:id="rId6"/>
    <sheet state="visible" name="current subscribers" sheetId="3" r:id="rId7"/>
  </sheets>
  <definedNames/>
  <calcPr/>
</workbook>
</file>

<file path=xl/sharedStrings.xml><?xml version="1.0" encoding="utf-8"?>
<sst xmlns="http://schemas.openxmlformats.org/spreadsheetml/2006/main" count="549" uniqueCount="372">
  <si>
    <t>Date</t>
  </si>
  <si>
    <t>Subject or Title</t>
  </si>
  <si>
    <t>Sent</t>
  </si>
  <si>
    <t>Delivered</t>
  </si>
  <si>
    <t>Total Opens</t>
  </si>
  <si>
    <t>Unique Opens</t>
  </si>
  <si>
    <t>Open Rate</t>
  </si>
  <si>
    <t>Unique Clicks</t>
  </si>
  <si>
    <t>Click-Through Rate</t>
  </si>
  <si>
    <t>Verified Unique Clicks</t>
  </si>
  <si>
    <t>Verified Click-Through Rate</t>
  </si>
  <si>
    <t>Unsubscribed</t>
  </si>
  <si>
    <t>Unsubscribe Rate</t>
  </si>
  <si>
    <t>Spam Reported</t>
  </si>
  <si>
    <t>Spam Reported Rate</t>
  </si>
  <si>
    <t>Web Views</t>
  </si>
  <si>
    <t>Web Clicks Unique</t>
  </si>
  <si>
    <t>Web Click Rate</t>
  </si>
  <si>
    <t>Post ID</t>
  </si>
  <si>
    <t>Content Tags</t>
  </si>
  <si>
    <t>Delivery Rate</t>
  </si>
  <si>
    <t>Big Tech, Bigger Battles: Fortnite Dances All O...</t>
  </si>
  <si>
    <t>15589269-9605-4f9d-b70c-07f225e35a25</t>
  </si>
  <si>
    <t>Daily News</t>
  </si>
  <si>
    <t>Ctrl+Alt+Delete: Putin’s Digital Purge</t>
  </si>
  <si>
    <t>03abc079-3467-4c17-af30-6d1851591a66</t>
  </si>
  <si>
    <t>AI, Apps &amp; Auto Fails: This Week</t>
  </si>
  <si>
    <t>8daed451-0077-4b3e-a696-b854e87f6cf9</t>
  </si>
  <si>
    <t>Big Tech Hears All (And Pays Up)</t>
  </si>
  <si>
    <t>74c18208-a849-4d02-bc68-a3b71ef5a6f2</t>
  </si>
  <si>
    <t>Call of Duty, Now Microsoft’s Problem</t>
  </si>
  <si>
    <t>d981ca7f-4b07-4e27-b796-3a414b00651a</t>
  </si>
  <si>
    <t>Google’s Monopoly in the Hot Seat</t>
  </si>
  <si>
    <t>8eb6d051-f512-4e8b-ba27-bb1e5ecab0c3</t>
  </si>
  <si>
    <t>Apple’s Garden Gets a Gate</t>
  </si>
  <si>
    <t>3b300c35-7aac-49f4-9204-32e9f82ad71d</t>
  </si>
  <si>
    <t>Electric Planes Take Off</t>
  </si>
  <si>
    <t>2731c010-968e-4641-8257-d5a80b1e4e36</t>
  </si>
  <si>
    <t>Browsers Get Bored—Go Full AI</t>
  </si>
  <si>
    <t>ebc08442-7bc4-4825-abcb-8daaa71c5609</t>
  </si>
  <si>
    <t>Boardroom Blunders &amp; AI Wonders</t>
  </si>
  <si>
    <t>3327300d-6caa-4449-bbc3-96b31697276d</t>
  </si>
  <si>
    <t>AI vs Artists: Copyright Showdown</t>
  </si>
  <si>
    <t>093d229d-64dc-46c7-be9b-1559c7e15e76</t>
  </si>
  <si>
    <t>When AI Stays on Your Device</t>
  </si>
  <si>
    <t>2bdeac3b-f82d-4965-9132-6194bac64e0c</t>
  </si>
  <si>
    <t>Chatbots in the Cloud: Plot Twist</t>
  </si>
  <si>
    <t>080a86d4-143b-4edf-899c-226dfdee52a5</t>
  </si>
  <si>
    <t>The Secret Life of SaaS Bots</t>
  </si>
  <si>
    <t>4d3c7271-3a9e-40b8-91d4-d94d25fab524</t>
  </si>
  <si>
    <t>Your Startup Just Got Acquihired</t>
  </si>
  <si>
    <t>ba952100-6616-49c1-8ddd-2a72fbc270f7</t>
  </si>
  <si>
    <t>The Island That Runs the Machines</t>
  </si>
  <si>
    <t>4a6431a6-57f1-41f2-bac4-4b18ed65c71c</t>
  </si>
  <si>
    <t>Build Your Own AI—Or Else</t>
  </si>
  <si>
    <t>26081922-b282-47d6-ae3e-92b0e787fe07</t>
  </si>
  <si>
    <t>Trouble in the AI Paradise</t>
  </si>
  <si>
    <t>901e3ab1-55bf-47f9-9ac4-75f3feac2ffc</t>
  </si>
  <si>
    <t>Virtual Personalities Take Over</t>
  </si>
  <si>
    <t>cc8493a2-9c0f-4acd-bf98-6e546651d589</t>
  </si>
  <si>
    <t>The Future’s in the Passenger Seat</t>
  </si>
  <si>
    <t>c8908737-b6f1-4fec-8b3c-c35b1436420f</t>
  </si>
  <si>
    <t>The Internet vs. AI Slop</t>
  </si>
  <si>
    <t>341b666a-343d-48d4-9e8e-1f9b4ee53988</t>
  </si>
  <si>
    <t>Remix or Rewrite?</t>
  </si>
  <si>
    <t>06d0a37c-ae28-4ee5-97df-6912b45db28f</t>
  </si>
  <si>
    <t>Governing the Algorithm Age</t>
  </si>
  <si>
    <t>e82eeab7-d349-4b73-938a-9946ae80a231</t>
  </si>
  <si>
    <t>Chasing True Intelligence</t>
  </si>
  <si>
    <t>b73cf6cd-c576-493f-8df2-fb234aefd428</t>
  </si>
  <si>
    <t>CEO Money for Coders</t>
  </si>
  <si>
    <t>b608a952-6fbe-4d6b-a8f0-ce97b284b46c</t>
  </si>
  <si>
    <t>Hype, Sanctions, and the R1 Shockwave</t>
  </si>
  <si>
    <t>acd9c0c7-17d5-4b9b-98bd-57a8d5df33bd</t>
  </si>
  <si>
    <t>China’s Chipless AI Charge</t>
  </si>
  <si>
    <t>528bbe97-c9bc-43c1-9cd7-e136d6a01e4d</t>
  </si>
  <si>
    <t>Huawei’s AI Gambit</t>
  </si>
  <si>
    <t>024551c7-0d81-4e0d-b04d-da383f2906c4</t>
  </si>
  <si>
    <t>Europe Stalls; AI Giants Accelerate</t>
  </si>
  <si>
    <t>b8367072-6028-40b4-960e-5944aa1cdab1</t>
  </si>
  <si>
    <t>New App, Same TikTok Drama</t>
  </si>
  <si>
    <t>b71b9b07-ded0-49d5-a4f1-f766d556f7b9</t>
  </si>
  <si>
    <t>Small Models, Big Wins</t>
  </si>
  <si>
    <t>87b8c65d-c0da-45d8-a937-1ceeb8d08c6c</t>
  </si>
  <si>
    <t>0dbb6230-8f46-4800-b9a7-4e2da4269b70</t>
  </si>
  <si>
    <t>AI Homeroom Hustle</t>
  </si>
  <si>
    <t>ebe453d8-ab8c-4624-8b07-7bb5672e8631</t>
  </si>
  <si>
    <t>Chrome Killer?</t>
  </si>
  <si>
    <t>0854e329-9328-487c-a3d6-2bde2c4e307f</t>
  </si>
  <si>
    <t>Grok 4 Goes Rogue—You In?</t>
  </si>
  <si>
    <t>370380bf-1b65-4176-9763-3f488d90c003</t>
  </si>
  <si>
    <t>AI tools are killing junior jobs—let’s talk</t>
  </si>
  <si>
    <t>e5e3a367-0d54-4717-8ced-6b30948fc8f3</t>
  </si>
  <si>
    <t>CUDA, GPUs &amp; $3T later: Nvidia’s AI glow-up</t>
  </si>
  <si>
    <t>bd24afd6-f868-4154-8721-067f6381612c</t>
  </si>
  <si>
    <t>AI Chips vs. Rocks: Who Wins the Next War?</t>
  </si>
  <si>
    <t>204fe93b-cfe9-4280-986b-ffa9978c2d65</t>
  </si>
  <si>
    <t>AI tools boost productivity—at the cost of yo...</t>
  </si>
  <si>
    <t>e13fcf00-296d-4c10-8d1c-9d5994243a9c</t>
  </si>
  <si>
    <t>Cybercrime’s new BFF? Your AI stack</t>
  </si>
  <si>
    <t>fa5f4281-843c-4ee5-8ed4-16844705ba8b</t>
  </si>
  <si>
    <t>The Web’s New Tollbooth</t>
  </si>
  <si>
    <t>415f6b26-c89c-495a-ac53-7779567d0753</t>
  </si>
  <si>
    <t>The Race To Replace Search As We Know It</t>
  </si>
  <si>
    <t>6d7f6fd3-deb4-4c67-a0ce-436e27370fcd</t>
  </si>
  <si>
    <t>OpenAI’s Grip On AI Slips</t>
  </si>
  <si>
    <t>0c8c6309-ca7b-482c-b914-ad02f82f288b</t>
  </si>
  <si>
    <t>Perplexity’s Profit Puzzle</t>
  </si>
  <si>
    <t>4a796fb8-df8a-42de-b70c-305d8b4fd9de</t>
  </si>
  <si>
    <t>Is Your AI Secretly Red or Blue?</t>
  </si>
  <si>
    <t>42ae67e5-b9ad-49f9-bc64-b1f33f2ad945</t>
  </si>
  <si>
    <t>AI Takes Your Call</t>
  </si>
  <si>
    <t>a9a3a4f6-3417-4b2e-a205-ad882e628588</t>
  </si>
  <si>
    <t>Vibe Coding Takes The Wheel</t>
  </si>
  <si>
    <t>9e744bb9-dbcb-4867-b3d6-0a892dbac0ab</t>
  </si>
  <si>
    <t>AI’s Transparency Test</t>
  </si>
  <si>
    <t>de427a42-4fb7-4dd7-b0e3-b1e6d9d6c2f6</t>
  </si>
  <si>
    <t>AI Cold War: Chips, Treaties, And Power</t>
  </si>
  <si>
    <t>3eb0d9f7-c82f-42d6-a7f4-7745d7d7e2c3</t>
  </si>
  <si>
    <t>Cloud Power: The Hidden AI Edge</t>
  </si>
  <si>
    <t>72e8e213-e611-484d-b057-6634e05365cb</t>
  </si>
  <si>
    <t>Code, Cash, And Characters</t>
  </si>
  <si>
    <t>789064f1-f279-495d-afad-ef6d3817738a</t>
  </si>
  <si>
    <t>Fixing AI’s Hallucination Problem</t>
  </si>
  <si>
    <t>b5708c23-4a28-4174-999a-39c626f18e15</t>
  </si>
  <si>
    <t>Kill Switch Or Chaos?</t>
  </si>
  <si>
    <t>d3e4874b-ddb6-4e5a-9efc-9c192618ce6a</t>
  </si>
  <si>
    <t>The Future Of AI Software</t>
  </si>
  <si>
    <t>02175671-7066-4899-8a66-15c059cfd676</t>
  </si>
  <si>
    <t>Will AI Agents Kill SaaS?</t>
  </si>
  <si>
    <t>1911c755-5c94-403d-90b9-7b1f7c055eed</t>
  </si>
  <si>
    <t>Intel’s $100B Bet Meets Washington</t>
  </si>
  <si>
    <t>dc506bd5-8355-4a38-851d-de40d8f59ce9</t>
  </si>
  <si>
    <t>GPT-5: Rerouting The Future</t>
  </si>
  <si>
    <t>e0273de5-abf5-403d-93b3-e86345819cd6</t>
  </si>
  <si>
    <t>AI’s Data Hunger</t>
  </si>
  <si>
    <t>1f2a1df0-5a5a-4bfa-9495-bc8ac4b4fcf3</t>
  </si>
  <si>
    <t>Why Nvidia and Alphabet are backing safer AI</t>
  </si>
  <si>
    <t>e60ad3ac-4eb4-46ce-8588-40b2b7b72fc4</t>
  </si>
  <si>
    <t>Not-So-Smart Apple</t>
  </si>
  <si>
    <t>2ec63217-ba63-495a-bff8-518e76c7bd78</t>
  </si>
  <si>
    <t>Is It Real Or Just AI?</t>
  </si>
  <si>
    <t>caff0376-9035-4aa6-9d35-51e0266d0563</t>
  </si>
  <si>
    <t>What’s Fueling AI Hype?</t>
  </si>
  <si>
    <t>2d88bff2-b307-4ac5-a069-e74b863e26d1</t>
  </si>
  <si>
    <t>Talking Toys And Chips</t>
  </si>
  <si>
    <t>b0500402-ba98-4b77-abe1-a81a227513e6</t>
  </si>
  <si>
    <t>Meta Faces New Firestorm</t>
  </si>
  <si>
    <t>4e4c3310-8c08-4ea3-aa11-006632322c55</t>
  </si>
  <si>
    <t>AI Wants To Be Your Coach</t>
  </si>
  <si>
    <t>708da055-082d-4bce-8767-b18ea66d9c54</t>
  </si>
  <si>
    <t>Can AI Ever Be “Alive”?</t>
  </si>
  <si>
    <t>c27bfdee-02fd-45c2-83c0-ed1c07c345a1</t>
  </si>
  <si>
    <t>The Rise Of Smart Surveillance</t>
  </si>
  <si>
    <t>dbaaa417-1f1e-4b74-a90f-a8cc0117cf2b</t>
  </si>
  <si>
    <t>Apple, OpenAI, And A Lawsuit</t>
  </si>
  <si>
    <t>4b95a0e1-ef49-4e91-b624-b39ea86be997</t>
  </si>
  <si>
    <t>Apple’s AI Gamble</t>
  </si>
  <si>
    <t>f000bc4f-7bd3-40bd-b0a7-50c695d644e5</t>
  </si>
  <si>
    <t>Can Intel Catch Up?</t>
  </si>
  <si>
    <t>3e3bfc29-3667-4b4f-8d8d-5803455ce040</t>
  </si>
  <si>
    <t>When AI Goes To War</t>
  </si>
  <si>
    <t>4a124243-a009-4637-8bef-17dddda72a03</t>
  </si>
  <si>
    <t>The Rise Of Virtual Companions</t>
  </si>
  <si>
    <t>f9394621-89fb-4c7e-ae27-196f79e74f10</t>
  </si>
  <si>
    <t>Who Regulates The Regulators?</t>
  </si>
  <si>
    <t>8a25fbc0-7fcb-41b5-b240-bbadc7356c19</t>
  </si>
  <si>
    <t>Rethinking R&amp;D With AI</t>
  </si>
  <si>
    <t>efac7f6a-4452-482f-a29a-b86177373cd7</t>
  </si>
  <si>
    <t>Clankers Go Mainstream</t>
  </si>
  <si>
    <t>5b0cbf5e-25c3-48a7-a2a7-a37473566192</t>
  </si>
  <si>
    <t>How Nvidia Quietly Runs AI</t>
  </si>
  <si>
    <t>d9171b8c-568c-4adb-ad19-cec488c947b4</t>
  </si>
  <si>
    <t>Copyright’s AI Reckoning</t>
  </si>
  <si>
    <t>fb1f8d00-ae37-432d-8172-3795dc7de3cf</t>
  </si>
  <si>
    <t>Is AI Killing the Web?</t>
  </si>
  <si>
    <t>c7c579a2-c976-4c07-bf3d-9bc61598e242</t>
  </si>
  <si>
    <t>AI, The Apple Way</t>
  </si>
  <si>
    <t>9e80ed33-55d6-43d5-9df5-d3350f0c4a2d</t>
  </si>
  <si>
    <t>Smaller, Local, Smarter?</t>
  </si>
  <si>
    <t>649162b9-6361-486b-bd8c-f1902a113757</t>
  </si>
  <si>
    <t>Turning Prompts Into Profit</t>
  </si>
  <si>
    <t>d82597f2-bf84-44f1-92df-14329fb58e7b</t>
  </si>
  <si>
    <t>Multi-Model, Multi-Billion</t>
  </si>
  <si>
    <t>c03b8a57-0d09-4be9-a25a-d72fbb791abe</t>
  </si>
  <si>
    <t>FTC Turns Up The Heat On AI</t>
  </si>
  <si>
    <t>01fd9ea6-dc84-40b1-9e00-35675111bf17</t>
  </si>
  <si>
    <t>How AI Still Causes Harm</t>
  </si>
  <si>
    <t>d6d69449-887e-4c76-88ea-48e87237e611</t>
  </si>
  <si>
    <t>Why Nvidia Just Got Banned Again</t>
  </si>
  <si>
    <t>c8f07158-5906-4905-af16-03261a9aa0dc</t>
  </si>
  <si>
    <t>China’s AI Underdog Play</t>
  </si>
  <si>
    <t>48f9a80c-8d7b-4586-9969-bf6be96fa37f</t>
  </si>
  <si>
    <t>Beyond the Model: Hardware</t>
  </si>
  <si>
    <t>0dc39777-5154-4e50-ac9e-14133ea7116b</t>
  </si>
  <si>
    <t>UN Rules For The AI Race</t>
  </si>
  <si>
    <t>0e81eedc-a4b1-4a01-979b-be5031ea4485</t>
  </si>
  <si>
    <t>Nvidia’s Mega Bet</t>
  </si>
  <si>
    <t>a25cde22-8bcd-4602-8a80-9785ad492a18</t>
  </si>
  <si>
    <t>Robo-Broker Or Risk Magnet?</t>
  </si>
  <si>
    <t>f0e368f3-f751-4000-a77d-4e8584e88cf1</t>
  </si>
  <si>
    <t>Property Meets The Prompt</t>
  </si>
  <si>
    <t>d0ac14ae-b47f-4038-8351-9d3eb3e23240</t>
  </si>
  <si>
    <t>AI Meets Hollywood Drama</t>
  </si>
  <si>
    <t>4014249e-9579-43be-8c7c-59070c82ab57</t>
  </si>
  <si>
    <t>Filters Aren’t Enough</t>
  </si>
  <si>
    <t>6a64fceb-5eaa-4588-8040-0415e03837f7</t>
  </si>
  <si>
    <t>Chatbots Won’t Say That</t>
  </si>
  <si>
    <t>b00aeb86-12ac-439b-a912-c24caa5c9bb7</t>
  </si>
  <si>
    <t>The Hidden Risks Of AI Companion</t>
  </si>
  <si>
    <t>10cd70cd-a91c-48a1-9281-a7a2442a1a8d</t>
  </si>
  <si>
    <t>Digital Doubles, Real Lawsuits</t>
  </si>
  <si>
    <t>540c8025-b220-44c3-a7a2-35701ccfcdad</t>
  </si>
  <si>
    <t>Sora’s Slippery Slope</t>
  </si>
  <si>
    <t>aee7d867-e398-48a3-aeb5-9f069f768c85</t>
  </si>
  <si>
    <t>ChatGPT’s Big App Store Moment</t>
  </si>
  <si>
    <t>e35aa6bb-f231-407e-817c-4cba5d129270</t>
  </si>
  <si>
    <t>AI’s Mental Health Crisis</t>
  </si>
  <si>
    <t>e7b20993-877b-4c51-9a1e-00e82a46681c</t>
  </si>
  <si>
    <t>AI For All... Or Just  Few?</t>
  </si>
  <si>
    <t>ff3b5917-3ba4-4b57-98da-df1cdd5268cb</t>
  </si>
  <si>
    <t>Rethinking Your AI Stack</t>
  </si>
  <si>
    <t>738472ee-377c-41cc-bd7f-b9feaf95fea0</t>
  </si>
  <si>
    <t>Coding Isn’t Dead Yet</t>
  </si>
  <si>
    <t>b3eac939-0b1a-4422-bcf6-315eaa246f1a</t>
  </si>
  <si>
    <t>AI Is Rewriting Healthcare</t>
  </si>
  <si>
    <t>5ce966f5-f1f7-4d0e-9bed-e9e2f9ed2bc4</t>
  </si>
  <si>
    <t>Texas Takes On Google</t>
  </si>
  <si>
    <t>cb3aca92-8341-4b51-b778-c69d46471ef8</t>
  </si>
  <si>
    <t>Chip Bans, Big Stakes</t>
  </si>
  <si>
    <t>a673668d-e1a1-4527-8cdc-77972680f860</t>
  </si>
  <si>
    <t>When Genomics Goes Wrong</t>
  </si>
  <si>
    <t>8136714a-55ed-4b66-8a52-d4125710fe0e</t>
  </si>
  <si>
    <t>Notes From An AI Sociopath</t>
  </si>
  <si>
    <t>61b73bf7-61b8-4bd0-a8fd-71f6b4bc14ca</t>
  </si>
  <si>
    <t>Agents vs. Chatbots: Not the Same</t>
  </si>
  <si>
    <t>3d693d6f-fd45-4156-bf9e-8a4fb7132fa9</t>
  </si>
  <si>
    <t>Powering AI From Space</t>
  </si>
  <si>
    <t>9ddd13ce-6ce8-4315-8f05-61ef54122e81</t>
  </si>
  <si>
    <t>The Future Is Rendered</t>
  </si>
  <si>
    <t>188bbb5f-94b7-4d30-9e68-095335092ad4</t>
  </si>
  <si>
    <t>When AI Shops For You</t>
  </si>
  <si>
    <t>e883b602-c768-4bcb-b10e-57a183876883</t>
  </si>
  <si>
    <t>The Quiet Power Of AI</t>
  </si>
  <si>
    <t>cd877195-5c51-4f53-938b-29b288bf64f7</t>
  </si>
  <si>
    <t>Why OpenAI Built A Browser</t>
  </si>
  <si>
    <t>b98d4302-9d34-4273-a1f1-12c9511052d5</t>
  </si>
  <si>
    <t>Coding Test Showdown</t>
  </si>
  <si>
    <t>11bcf525-62c0-41a5-9e2e-15bb59b1e8b6</t>
  </si>
  <si>
    <t>Why Chatbot Bans Often Backfire</t>
  </si>
  <si>
    <t>c9d9c506-46ec-493d-a223-3f8467cd9893</t>
  </si>
  <si>
    <t>India, Data, And AI Power</t>
  </si>
  <si>
    <t>cbb52c33-16fb-461e-9dd5-5c3d9fdf4cfc</t>
  </si>
  <si>
    <t>The Real Cost Of AI Hype</t>
  </si>
  <si>
    <t>1bc16367-2b9a-4501-9113-adf36898e1e2</t>
  </si>
  <si>
    <t>Infrastructure Eats AI for Lunch</t>
  </si>
  <si>
    <t>a4334324-d289-403c-ab42-99b90223f040</t>
  </si>
  <si>
    <t>11ff4d3a-8d8b-44ee-b4bc-d37183e6f85f</t>
  </si>
  <si>
    <t>When Art Meets Algorithms</t>
  </si>
  <si>
    <t>fd8fbb47-cab6-47fc-a30d-d84fabbc0cbb</t>
  </si>
  <si>
    <t>AI Needs A Moral Compass</t>
  </si>
  <si>
    <t>25690ad0-3353-4c65-8cc5-c4844dc15d2c</t>
  </si>
  <si>
    <t>OpenAI’s Power Play</t>
  </si>
  <si>
    <t>788c5dff-4c10-461d-9cbb-d364fd401acb</t>
  </si>
  <si>
    <t>Creative Tools, Rewritten</t>
  </si>
  <si>
    <t>0bd0d389-423e-4956-9498-f68835e8e207</t>
  </si>
  <si>
    <t>Big Tech’s Bubble Math</t>
  </si>
  <si>
    <t>bb477df1-c9f6-4ad2-b190-6a2f6ece384f</t>
  </si>
  <si>
    <t>Europe Hits The Brakes</t>
  </si>
  <si>
    <t>3fdf9895-d0ef-4775-8c25-096a53714f74</t>
  </si>
  <si>
    <t>OpenAI’s Healthcare Gamble</t>
  </si>
  <si>
    <t>0776f02b-a4c3-4857-a8da-8359e4d66505</t>
  </si>
  <si>
    <t>The AI Inflection Point</t>
  </si>
  <si>
    <t>f5757be3-d308-4840-beac-2aefe5f7d14d</t>
  </si>
  <si>
    <t>The AI Beat Drops</t>
  </si>
  <si>
    <t>377e0668-73a3-407b-a81a-ab4ceb0a87b6</t>
  </si>
  <si>
    <t>Why AI Runs On Shortages</t>
  </si>
  <si>
    <t>8b8ea2cf-ec4a-4dc6-922f-c8c4d5695017</t>
  </si>
  <si>
    <t>AI In Court, For Real</t>
  </si>
  <si>
    <t>c084a7cc-57f2-4567-a970-11b97d1752c5</t>
  </si>
  <si>
    <t>AI Runs on Data... Who’s in Charge?</t>
  </si>
  <si>
    <t>947159a3-5818-4947-9f71-853770946891</t>
  </si>
  <si>
    <t>Who Really Runs AI?</t>
  </si>
  <si>
    <t>6603884e-deb9-4388-9e4c-ab7dcfd5bbfd</t>
  </si>
  <si>
    <t>Content You Can’t Verify</t>
  </si>
  <si>
    <t>8129a535-6edb-499d-8a3e-22d2af683bb5</t>
  </si>
  <si>
    <t>How China Is Building Its AI Internet</t>
  </si>
  <si>
    <t>f6632616-00f7-4b35-8d58-2e3471b8378b</t>
  </si>
  <si>
    <t>Who Controls AI’s Future?</t>
  </si>
  <si>
    <t>fabeaa0f-de9c-48b7-8a83-7a9085215efc</t>
  </si>
  <si>
    <t>Open vs. Closed AI</t>
  </si>
  <si>
    <t>edcabf23-59ed-4782-9284-34da74a4fc20</t>
  </si>
  <si>
    <t>AI Gives Robots A Spine</t>
  </si>
  <si>
    <t>fcfff403-dc5b-40f3-b0f4-0017e836c207</t>
  </si>
  <si>
    <t>AI Wants to Be Your Friend</t>
  </si>
  <si>
    <t>475f5a4a-e8dc-4ff0-9cfd-2bce36f07608</t>
  </si>
  <si>
    <t>The Patent Tug-of-War</t>
  </si>
  <si>
    <t>406b87dc-a4c5-415f-af61-7a1844acb968</t>
  </si>
  <si>
    <t>Who Really Controls AI?</t>
  </si>
  <si>
    <t>57df52cd-39ac-4c4a-9806-fc2284a9aa86</t>
  </si>
  <si>
    <t>AI’s Cooling Crisis</t>
  </si>
  <si>
    <t>9858e38c-c128-49c3-99ef-c08459a205bb</t>
  </si>
  <si>
    <t>Racing Toward AGI, No Guardrails</t>
  </si>
  <si>
    <t>9204f1a6-7571-4102-8500-e66088659f1e</t>
  </si>
  <si>
    <t>The End Of Easy AI Dominance</t>
  </si>
  <si>
    <t>8df22966-82de-4ce8-8b37-65b82440cee7</t>
  </si>
  <si>
    <t>The Auto Industry’s AI Split</t>
  </si>
  <si>
    <t>3ec80dac-18b2-4c67-822a-6a5b4b9434c2</t>
  </si>
  <si>
    <t>Moderating The Mess With AI</t>
  </si>
  <si>
    <t>882529d2-5233-4d1c-b9e4-721ce5e2de3b</t>
  </si>
  <si>
    <t>How AI Rewrites Empire</t>
  </si>
  <si>
    <t>bbaf0e08-25f3-47f6-9b0c-d1e832f73ee8</t>
  </si>
  <si>
    <t>AI Power, Local Pain</t>
  </si>
  <si>
    <t>c651e8a7-69bc-4239-9c74-743470c23088</t>
  </si>
  <si>
    <t>Search Is Dead, Sort Of</t>
  </si>
  <si>
    <t>fe43b6de-f29d-4a00-bc06-72ac0e947496</t>
  </si>
  <si>
    <t>Your Copilot Is Just Search</t>
  </si>
  <si>
    <t>f0ffc4c0-aec4-419b-ae52-fa7605f3d24f</t>
  </si>
  <si>
    <t>Policies Before More Prompts</t>
  </si>
  <si>
    <t>0fe61e59-38da-4c64-bca3-5730c208b333</t>
  </si>
  <si>
    <t>Your AI Bill Spike</t>
  </si>
  <si>
    <t>b5b6d939-4461-4083-bd79-ee6e27013df0</t>
  </si>
  <si>
    <t>When Safety Meets Sovereignty</t>
  </si>
  <si>
    <t>17e781ec-6c24-4b68-92a9-a0ea28e12d09</t>
  </si>
  <si>
    <t>AI Matures, Excuses Expire</t>
  </si>
  <si>
    <t>6a78747e-6cb3-4c3c-8714-e72f97116a16</t>
  </si>
  <si>
    <t>AI Capex vs Real Revenue</t>
  </si>
  <si>
    <t>25737d4e-63ac-4c73-8937-247a38a845ca</t>
  </si>
  <si>
    <t>Who Really Writes AI Rules?</t>
  </si>
  <si>
    <t>3fcaf0f4-a10f-4d5e-8147-c8c3bb996e23</t>
  </si>
  <si>
    <t>Inside AI’s Mental Side Effects</t>
  </si>
  <si>
    <t>a96c38f3-0648-4df2-b2e4-3ffe43560133</t>
  </si>
  <si>
    <t>One Nation, Fifty AI Rulebooks</t>
  </si>
  <si>
    <t>9803eb26-44b9-4dce-b861-978cb17003fd</t>
  </si>
  <si>
    <t>Smuggled GPUs, Global Nerves</t>
  </si>
  <si>
    <t>4918e56d-51f2-48e4-b23f-4b35df836eac</t>
  </si>
  <si>
    <t>Sovereignty, Silicon, and Power</t>
  </si>
  <si>
    <t>6abc6f41-9c72-4e57-a57e-98c99d439063</t>
  </si>
  <si>
    <t>When States Outrun DC</t>
  </si>
  <si>
    <t>40c4a648-484f-43e4-93ba-7aa5f2480b35</t>
  </si>
  <si>
    <t>Who Owns the AI Stories?</t>
  </si>
  <si>
    <t>42cd3e17-8331-475f-9041-618fedf6e255</t>
  </si>
  <si>
    <t>Biometrics At Every Border</t>
  </si>
  <si>
    <t>7aae69ae-d921-414c-8e1e-8b61b74ad148</t>
  </si>
  <si>
    <t>Amazon’s Stealth Shopper</t>
  </si>
  <si>
    <t>129556cc-d31c-420e-a9d8-21fbb1677f9e</t>
  </si>
  <si>
    <t>Nvidia’s New Obsession: Teaching AI To “Reason”</t>
  </si>
  <si>
    <t>62bf444a-0c6a-48f8-8344-0c4b51b797d4</t>
  </si>
  <si>
    <t>Your Model, Your Lawsuit?</t>
  </si>
  <si>
    <t>82d3f602-ec95-4863-bd7f-05be5e8862b6</t>
  </si>
  <si>
    <t>Rules For Human-Like AI</t>
  </si>
  <si>
    <t>7118dfe5-c4ba-4e3d-a91e-93ca91f5e823</t>
  </si>
  <si>
    <t>📬 When AI Moves to the Background</t>
  </si>
  <si>
    <t>bc4dc622-8574-4ffc-bdf6-1421f011b60a</t>
  </si>
  <si>
    <t>Interviews</t>
  </si>
  <si>
    <t>The Fourth Agricultural Revolution</t>
  </si>
  <si>
    <t>1a1f4bf3-85e6-49f1-8402-49ff29b5a5da</t>
  </si>
  <si>
    <t>ChatGPT Health Changes The Game</t>
  </si>
  <si>
    <t>fb621996-e665-444c-a232-af9256c8180f</t>
  </si>
  <si>
    <t>Agents, Geopolitics &amp; Meta</t>
  </si>
  <si>
    <t>f1d972d9-51c4-4f2e-b6cb-a7a9b0715d45</t>
  </si>
  <si>
    <t>Siri’s New Gemini Brain</t>
  </si>
  <si>
    <t>8b0fc4a7-5de6-4344-a2eb-c989813a2f9e</t>
  </si>
  <si>
    <t>Who Pays For AI?</t>
  </si>
  <si>
    <t>d1d65205-4af2-4088-8866-abda237219b4</t>
  </si>
  <si>
    <t>Inside Meta’s Compute Empire</t>
  </si>
  <si>
    <t>0d2a4e66-d80f-4330-91a5-12cc8cba75ee</t>
  </si>
  <si>
    <t>Grok, Guardrails &amp; Consequences</t>
  </si>
  <si>
    <t>b9f79b95-625f-454c-a212-06a420805c55</t>
  </si>
  <si>
    <t>Subscribed</t>
  </si>
  <si>
    <t>Net</t>
  </si>
  <si>
    <t>Active subscribers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</si>
</sst>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yyyy"/>
    <numFmt numFmtId="165" formatCode="mmmm d, yyyy"/>
    <numFmt numFmtId="166" formatCode="mmm d, yyyy"/>
    <numFmt numFmtId="167" formatCode="mmmyy"/>
    <numFmt numFmtId="168" formatCode="yyyy-mm-dd"/>
    <numFmt numFmtId="169" formatCode="mmmd"/>
    <numFmt numFmtId="170" formatCode="mmmm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11827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3" fontId="1" numFmtId="10" xfId="0" applyAlignment="1" applyFont="1" applyNumberFormat="1">
      <alignment readingOrder="0"/>
    </xf>
    <xf borderId="0" fillId="2" fontId="1" numFmtId="0" xfId="0" applyFont="1"/>
    <xf borderId="0" fillId="2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1" numFmtId="10" xfId="0" applyFont="1" applyNumberFormat="1"/>
    <xf borderId="0" fillId="0" fontId="1" numFmtId="166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3" fontId="1" numFmtId="9" xfId="0" applyAlignment="1" applyFont="1" applyNumberFormat="1">
      <alignment readingOrder="0"/>
    </xf>
    <xf borderId="0" fillId="3" fontId="1" numFmtId="0" xfId="0" applyFon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3" fontId="1" numFmtId="10" xfId="0" applyFont="1" applyNumberFormat="1"/>
    <xf borderId="0" fillId="0" fontId="1" numFmtId="3" xfId="0" applyFont="1" applyNumberFormat="1"/>
    <xf borderId="0" fillId="0" fontId="1" numFmtId="4" xfId="0" applyFont="1" applyNumberFormat="1"/>
    <xf borderId="0" fillId="2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2" numFmtId="167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bscriber monthl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le1" name="Table1" id="1">
  <tableColumns count="4">
    <tableColumn name="Date" id="1"/>
    <tableColumn name="Subscribed" id="2"/>
    <tableColumn name="Unsubscribed" id="3"/>
    <tableColumn name="Net" id="4"/>
  </tableColumns>
  <tableStyleInfo name="subscriber month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6.75"/>
    <col customWidth="1" min="3" max="3" width="7.63"/>
    <col customWidth="1" min="4" max="4" width="9.63"/>
    <col customWidth="1" min="12" max="12" width="16.0"/>
    <col customWidth="1" min="14" max="1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4" t="s">
        <v>20</v>
      </c>
      <c r="V1" s="5"/>
      <c r="W1" s="5"/>
      <c r="X1" s="5"/>
      <c r="Y1" s="6"/>
      <c r="Z1" s="5"/>
    </row>
    <row r="2">
      <c r="A2" s="7">
        <v>45805.0</v>
      </c>
      <c r="B2" s="1" t="s">
        <v>21</v>
      </c>
      <c r="C2" s="1">
        <v>58.0</v>
      </c>
      <c r="D2" s="1">
        <v>58.0</v>
      </c>
      <c r="E2" s="1">
        <v>255.0</v>
      </c>
      <c r="F2" s="1">
        <v>53.0</v>
      </c>
      <c r="G2" s="8">
        <v>0.9138</v>
      </c>
      <c r="H2" s="1">
        <v>47.0</v>
      </c>
      <c r="I2" s="8">
        <v>0.8868</v>
      </c>
      <c r="J2" s="3">
        <v>47.0</v>
      </c>
      <c r="K2" s="9">
        <v>0.8868</v>
      </c>
      <c r="L2" s="1">
        <v>0.0</v>
      </c>
      <c r="M2" s="8">
        <v>0.0</v>
      </c>
      <c r="N2" s="1">
        <v>0.0</v>
      </c>
      <c r="O2" s="10"/>
      <c r="P2" s="1">
        <v>46.0</v>
      </c>
      <c r="Q2" s="1">
        <v>4.0</v>
      </c>
      <c r="R2" s="8">
        <v>0.087</v>
      </c>
      <c r="S2" s="1" t="s">
        <v>22</v>
      </c>
      <c r="T2" s="1" t="s">
        <v>23</v>
      </c>
      <c r="U2" s="11">
        <f t="shared" ref="U2:U175" si="1">D2/C2*100</f>
        <v>100</v>
      </c>
      <c r="V2" s="12"/>
      <c r="W2" s="12"/>
      <c r="X2" s="12"/>
      <c r="Y2" s="6"/>
      <c r="Z2" s="5"/>
    </row>
    <row r="3">
      <c r="A3" s="7">
        <v>45806.0</v>
      </c>
      <c r="B3" s="1" t="s">
        <v>24</v>
      </c>
      <c r="C3" s="1">
        <v>58.0</v>
      </c>
      <c r="D3" s="1">
        <v>58.0</v>
      </c>
      <c r="E3" s="1">
        <v>168.0</v>
      </c>
      <c r="F3" s="1">
        <v>41.0</v>
      </c>
      <c r="G3" s="8">
        <v>0.7069</v>
      </c>
      <c r="H3" s="1">
        <v>21.0</v>
      </c>
      <c r="I3" s="8">
        <v>0.5122</v>
      </c>
      <c r="J3" s="3">
        <v>20.0</v>
      </c>
      <c r="K3" s="9">
        <v>0.4878</v>
      </c>
      <c r="L3" s="1">
        <v>0.0</v>
      </c>
      <c r="M3" s="8">
        <v>0.0</v>
      </c>
      <c r="N3" s="1">
        <v>0.0</v>
      </c>
      <c r="O3" s="13"/>
      <c r="P3" s="1">
        <v>9.0</v>
      </c>
      <c r="Q3" s="1">
        <v>1.0</v>
      </c>
      <c r="R3" s="8">
        <v>0.1111</v>
      </c>
      <c r="S3" s="1" t="s">
        <v>25</v>
      </c>
      <c r="T3" s="1" t="s">
        <v>23</v>
      </c>
      <c r="U3" s="11">
        <f t="shared" si="1"/>
        <v>100</v>
      </c>
      <c r="V3" s="12"/>
      <c r="W3" s="12"/>
      <c r="X3" s="12"/>
      <c r="Y3" s="6"/>
      <c r="Z3" s="5"/>
    </row>
    <row r="4">
      <c r="A4" s="7">
        <v>45807.0</v>
      </c>
      <c r="B4" s="1" t="s">
        <v>26</v>
      </c>
      <c r="C4" s="1">
        <v>58.0</v>
      </c>
      <c r="D4" s="1">
        <v>58.0</v>
      </c>
      <c r="E4" s="1">
        <v>95.0</v>
      </c>
      <c r="F4" s="1">
        <v>38.0</v>
      </c>
      <c r="G4" s="8">
        <v>0.6552</v>
      </c>
      <c r="H4" s="1">
        <v>15.0</v>
      </c>
      <c r="I4" s="8">
        <v>0.3947</v>
      </c>
      <c r="J4" s="3">
        <v>14.0</v>
      </c>
      <c r="K4" s="9">
        <v>0.3684</v>
      </c>
      <c r="L4" s="1">
        <v>0.0</v>
      </c>
      <c r="M4" s="8">
        <v>0.0</v>
      </c>
      <c r="N4" s="1">
        <v>0.0</v>
      </c>
      <c r="O4" s="13"/>
      <c r="P4" s="1">
        <v>11.0</v>
      </c>
      <c r="Q4" s="1">
        <v>2.0</v>
      </c>
      <c r="R4" s="8">
        <v>0.1818</v>
      </c>
      <c r="S4" s="1" t="s">
        <v>27</v>
      </c>
      <c r="T4" s="1" t="s">
        <v>23</v>
      </c>
      <c r="U4" s="11">
        <f t="shared" si="1"/>
        <v>100</v>
      </c>
      <c r="V4" s="12"/>
      <c r="W4" s="12"/>
      <c r="X4" s="12"/>
      <c r="Y4" s="6"/>
      <c r="Z4" s="5"/>
    </row>
    <row r="5">
      <c r="A5" s="14">
        <v>45810.0</v>
      </c>
      <c r="B5" s="1" t="s">
        <v>28</v>
      </c>
      <c r="C5" s="1">
        <v>58.0</v>
      </c>
      <c r="D5" s="1">
        <v>58.0</v>
      </c>
      <c r="E5" s="1">
        <v>88.0</v>
      </c>
      <c r="F5" s="1">
        <v>41.0</v>
      </c>
      <c r="G5" s="8">
        <v>0.7069</v>
      </c>
      <c r="H5" s="1">
        <v>8.0</v>
      </c>
      <c r="I5" s="8">
        <v>0.1951</v>
      </c>
      <c r="J5" s="3">
        <v>7.0</v>
      </c>
      <c r="K5" s="9">
        <v>0.1707</v>
      </c>
      <c r="L5" s="1">
        <v>0.0</v>
      </c>
      <c r="M5" s="8">
        <v>0.0</v>
      </c>
      <c r="N5" s="1">
        <v>0.0</v>
      </c>
      <c r="O5" s="13"/>
      <c r="P5" s="1">
        <v>1.0</v>
      </c>
      <c r="Q5" s="1">
        <v>0.0</v>
      </c>
      <c r="R5" s="8">
        <v>0.0</v>
      </c>
      <c r="S5" s="1" t="s">
        <v>29</v>
      </c>
      <c r="T5" s="1" t="s">
        <v>23</v>
      </c>
      <c r="U5" s="11">
        <f t="shared" si="1"/>
        <v>100</v>
      </c>
      <c r="V5" s="12"/>
      <c r="W5" s="12"/>
      <c r="X5" s="12"/>
      <c r="Y5" s="6"/>
      <c r="Z5" s="5"/>
    </row>
    <row r="6">
      <c r="A6" s="14">
        <v>45811.0</v>
      </c>
      <c r="B6" s="1" t="s">
        <v>30</v>
      </c>
      <c r="C6" s="1">
        <v>58.0</v>
      </c>
      <c r="D6" s="1">
        <v>58.0</v>
      </c>
      <c r="E6" s="1">
        <v>101.0</v>
      </c>
      <c r="F6" s="1">
        <v>39.0</v>
      </c>
      <c r="G6" s="8">
        <v>0.6724</v>
      </c>
      <c r="H6" s="1">
        <v>8.0</v>
      </c>
      <c r="I6" s="8">
        <v>0.2051</v>
      </c>
      <c r="J6" s="3">
        <v>7.0</v>
      </c>
      <c r="K6" s="9">
        <v>0.1795</v>
      </c>
      <c r="L6" s="1">
        <v>0.0</v>
      </c>
      <c r="M6" s="8">
        <v>0.0</v>
      </c>
      <c r="N6" s="1">
        <v>0.0</v>
      </c>
      <c r="O6" s="13"/>
      <c r="P6" s="1">
        <v>6.0</v>
      </c>
      <c r="Q6" s="1">
        <v>0.0</v>
      </c>
      <c r="R6" s="8">
        <v>0.0</v>
      </c>
      <c r="S6" s="1" t="s">
        <v>31</v>
      </c>
      <c r="T6" s="1" t="s">
        <v>23</v>
      </c>
      <c r="U6" s="11">
        <f t="shared" si="1"/>
        <v>100</v>
      </c>
      <c r="V6" s="12"/>
      <c r="W6" s="12"/>
      <c r="X6" s="12"/>
      <c r="Y6" s="6"/>
      <c r="Z6" s="5"/>
    </row>
    <row r="7">
      <c r="A7" s="14">
        <v>45812.0</v>
      </c>
      <c r="B7" s="1" t="s">
        <v>32</v>
      </c>
      <c r="C7" s="1">
        <v>58.0</v>
      </c>
      <c r="D7" s="1">
        <v>58.0</v>
      </c>
      <c r="E7" s="1">
        <v>94.0</v>
      </c>
      <c r="F7" s="1">
        <v>38.0</v>
      </c>
      <c r="G7" s="8">
        <v>0.6552</v>
      </c>
      <c r="H7" s="1">
        <v>7.0</v>
      </c>
      <c r="I7" s="8">
        <v>0.1842</v>
      </c>
      <c r="J7" s="3">
        <v>6.0</v>
      </c>
      <c r="K7" s="9">
        <v>0.1579</v>
      </c>
      <c r="L7" s="1">
        <v>0.0</v>
      </c>
      <c r="M7" s="8">
        <v>0.0</v>
      </c>
      <c r="N7" s="1">
        <v>0.0</v>
      </c>
      <c r="O7" s="13"/>
      <c r="P7" s="1">
        <v>8.0</v>
      </c>
      <c r="Q7" s="1">
        <v>0.0</v>
      </c>
      <c r="R7" s="8">
        <v>0.0</v>
      </c>
      <c r="S7" s="1" t="s">
        <v>33</v>
      </c>
      <c r="T7" s="1" t="s">
        <v>23</v>
      </c>
      <c r="U7" s="11">
        <f t="shared" si="1"/>
        <v>100</v>
      </c>
      <c r="V7" s="12"/>
      <c r="W7" s="12"/>
      <c r="X7" s="12"/>
      <c r="Y7" s="6"/>
      <c r="Z7" s="5"/>
    </row>
    <row r="8">
      <c r="A8" s="14">
        <v>45813.0</v>
      </c>
      <c r="B8" s="1" t="s">
        <v>34</v>
      </c>
      <c r="C8" s="1">
        <v>58.0</v>
      </c>
      <c r="D8" s="1">
        <v>58.0</v>
      </c>
      <c r="E8" s="1">
        <v>73.0</v>
      </c>
      <c r="F8" s="1">
        <v>39.0</v>
      </c>
      <c r="G8" s="8">
        <v>0.6724</v>
      </c>
      <c r="H8" s="1">
        <v>8.0</v>
      </c>
      <c r="I8" s="8">
        <v>0.2051</v>
      </c>
      <c r="J8" s="3">
        <v>8.0</v>
      </c>
      <c r="K8" s="9">
        <v>0.2051</v>
      </c>
      <c r="L8" s="1">
        <v>1.0</v>
      </c>
      <c r="M8" s="8">
        <v>0.0172</v>
      </c>
      <c r="N8" s="1">
        <v>0.0</v>
      </c>
      <c r="O8" s="13"/>
      <c r="P8" s="1">
        <v>1.0</v>
      </c>
      <c r="Q8" s="1">
        <v>0.0</v>
      </c>
      <c r="R8" s="8">
        <v>0.0</v>
      </c>
      <c r="S8" s="1" t="s">
        <v>35</v>
      </c>
      <c r="T8" s="1" t="s">
        <v>23</v>
      </c>
      <c r="U8" s="11">
        <f t="shared" si="1"/>
        <v>100</v>
      </c>
      <c r="V8" s="12"/>
      <c r="W8" s="12"/>
      <c r="X8" s="12"/>
      <c r="Y8" s="6"/>
      <c r="Z8" s="5"/>
    </row>
    <row r="9">
      <c r="A9" s="14">
        <v>45814.0</v>
      </c>
      <c r="B9" s="1" t="s">
        <v>36</v>
      </c>
      <c r="C9" s="1">
        <v>57.0</v>
      </c>
      <c r="D9" s="1">
        <v>57.0</v>
      </c>
      <c r="E9" s="1">
        <v>60.0</v>
      </c>
      <c r="F9" s="1">
        <v>40.0</v>
      </c>
      <c r="G9" s="8">
        <v>0.7018</v>
      </c>
      <c r="H9" s="1">
        <v>8.0</v>
      </c>
      <c r="I9" s="15">
        <v>0.2</v>
      </c>
      <c r="J9" s="3">
        <v>8.0</v>
      </c>
      <c r="K9" s="16">
        <v>0.2</v>
      </c>
      <c r="L9" s="1">
        <v>0.0</v>
      </c>
      <c r="M9" s="8">
        <v>0.0</v>
      </c>
      <c r="N9" s="1">
        <v>0.0</v>
      </c>
      <c r="O9" s="13"/>
      <c r="P9" s="1">
        <v>3.0</v>
      </c>
      <c r="Q9" s="1">
        <v>0.0</v>
      </c>
      <c r="R9" s="8">
        <v>0.0</v>
      </c>
      <c r="S9" s="1" t="s">
        <v>37</v>
      </c>
      <c r="T9" s="1" t="s">
        <v>23</v>
      </c>
      <c r="U9" s="11">
        <f t="shared" si="1"/>
        <v>100</v>
      </c>
      <c r="V9" s="12"/>
      <c r="W9" s="12"/>
      <c r="X9" s="12"/>
      <c r="Y9" s="6"/>
      <c r="Z9" s="5"/>
    </row>
    <row r="10">
      <c r="A10" s="14">
        <v>45817.0</v>
      </c>
      <c r="B10" s="1" t="s">
        <v>38</v>
      </c>
      <c r="C10" s="1">
        <v>313.0</v>
      </c>
      <c r="D10" s="1">
        <v>313.0</v>
      </c>
      <c r="E10" s="1">
        <v>278.0</v>
      </c>
      <c r="F10" s="1">
        <v>179.0</v>
      </c>
      <c r="G10" s="8">
        <v>0.5719</v>
      </c>
      <c r="H10" s="1">
        <v>11.0</v>
      </c>
      <c r="I10" s="8">
        <v>0.0615</v>
      </c>
      <c r="J10" s="3">
        <v>10.0</v>
      </c>
      <c r="K10" s="9">
        <v>0.0559</v>
      </c>
      <c r="L10" s="1">
        <v>4.0</v>
      </c>
      <c r="M10" s="8">
        <v>0.0128</v>
      </c>
      <c r="N10" s="1">
        <v>0.0</v>
      </c>
      <c r="O10" s="13"/>
      <c r="P10" s="1">
        <v>7.0</v>
      </c>
      <c r="Q10" s="1">
        <v>1.0</v>
      </c>
      <c r="R10" s="8">
        <v>0.1429</v>
      </c>
      <c r="S10" s="1" t="s">
        <v>39</v>
      </c>
      <c r="T10" s="1" t="s">
        <v>23</v>
      </c>
      <c r="U10" s="11">
        <f t="shared" si="1"/>
        <v>100</v>
      </c>
      <c r="V10" s="12"/>
      <c r="W10" s="12"/>
      <c r="X10" s="12"/>
      <c r="Y10" s="6"/>
      <c r="Z10" s="5"/>
    </row>
    <row r="11">
      <c r="A11" s="14">
        <v>45818.0</v>
      </c>
      <c r="B11" s="1" t="s">
        <v>40</v>
      </c>
      <c r="C11" s="1">
        <v>309.0</v>
      </c>
      <c r="D11" s="1">
        <v>306.0</v>
      </c>
      <c r="E11" s="1">
        <v>255.0</v>
      </c>
      <c r="F11" s="1">
        <v>166.0</v>
      </c>
      <c r="G11" s="8">
        <v>0.5425</v>
      </c>
      <c r="H11" s="1">
        <v>9.0</v>
      </c>
      <c r="I11" s="8">
        <v>0.0542</v>
      </c>
      <c r="J11" s="3">
        <v>8.0</v>
      </c>
      <c r="K11" s="9">
        <v>0.0482</v>
      </c>
      <c r="L11" s="1">
        <v>2.0</v>
      </c>
      <c r="M11" s="8">
        <v>0.0065</v>
      </c>
      <c r="N11" s="1">
        <v>0.0</v>
      </c>
      <c r="O11" s="13"/>
      <c r="P11" s="1">
        <v>7.0</v>
      </c>
      <c r="Q11" s="1">
        <v>0.0</v>
      </c>
      <c r="R11" s="8">
        <v>0.0</v>
      </c>
      <c r="S11" s="1" t="s">
        <v>41</v>
      </c>
      <c r="T11" s="1" t="s">
        <v>23</v>
      </c>
      <c r="U11" s="11">
        <f t="shared" si="1"/>
        <v>99.02912621</v>
      </c>
      <c r="V11" s="12"/>
      <c r="W11" s="12"/>
      <c r="X11" s="12"/>
      <c r="Y11" s="6"/>
      <c r="Z11" s="5"/>
    </row>
    <row r="12">
      <c r="A12" s="14">
        <v>45819.0</v>
      </c>
      <c r="B12" s="1" t="s">
        <v>42</v>
      </c>
      <c r="C12" s="1">
        <v>307.0</v>
      </c>
      <c r="D12" s="1">
        <v>304.0</v>
      </c>
      <c r="E12" s="1">
        <v>217.0</v>
      </c>
      <c r="F12" s="1">
        <v>130.0</v>
      </c>
      <c r="G12" s="8">
        <v>0.4276</v>
      </c>
      <c r="H12" s="1">
        <v>14.0</v>
      </c>
      <c r="I12" s="8">
        <v>0.1077</v>
      </c>
      <c r="J12" s="3">
        <v>13.0</v>
      </c>
      <c r="K12" s="16">
        <v>0.1</v>
      </c>
      <c r="L12" s="1">
        <v>3.0</v>
      </c>
      <c r="M12" s="8">
        <v>0.0099</v>
      </c>
      <c r="N12" s="1">
        <v>0.0</v>
      </c>
      <c r="O12" s="10"/>
      <c r="P12" s="1">
        <v>11.0</v>
      </c>
      <c r="Q12" s="1">
        <v>2.0</v>
      </c>
      <c r="R12" s="8">
        <v>0.1818</v>
      </c>
      <c r="S12" s="1" t="s">
        <v>43</v>
      </c>
      <c r="T12" s="1" t="s">
        <v>23</v>
      </c>
      <c r="U12" s="11">
        <f t="shared" si="1"/>
        <v>99.0228013</v>
      </c>
      <c r="V12" s="12"/>
      <c r="W12" s="12"/>
      <c r="X12" s="12"/>
      <c r="Y12" s="6"/>
      <c r="Z12" s="5"/>
    </row>
    <row r="13">
      <c r="A13" s="14">
        <v>45820.0</v>
      </c>
      <c r="B13" s="1" t="s">
        <v>44</v>
      </c>
      <c r="C13" s="1">
        <v>305.0</v>
      </c>
      <c r="D13" s="1">
        <v>302.0</v>
      </c>
      <c r="E13" s="1">
        <v>262.0</v>
      </c>
      <c r="F13" s="1">
        <v>169.0</v>
      </c>
      <c r="G13" s="8">
        <v>0.5596</v>
      </c>
      <c r="H13" s="1">
        <v>13.0</v>
      </c>
      <c r="I13" s="8">
        <v>0.0769</v>
      </c>
      <c r="J13" s="3">
        <v>12.0</v>
      </c>
      <c r="K13" s="9">
        <v>0.071</v>
      </c>
      <c r="L13" s="1">
        <v>2.0</v>
      </c>
      <c r="M13" s="8">
        <v>0.0066</v>
      </c>
      <c r="N13" s="1">
        <v>0.0</v>
      </c>
      <c r="O13" s="8">
        <v>0.0</v>
      </c>
      <c r="P13" s="1">
        <v>5.0</v>
      </c>
      <c r="Q13" s="1">
        <v>0.0</v>
      </c>
      <c r="R13" s="8">
        <v>0.0</v>
      </c>
      <c r="S13" s="1" t="s">
        <v>45</v>
      </c>
      <c r="T13" s="1" t="s">
        <v>23</v>
      </c>
      <c r="U13" s="11">
        <f t="shared" si="1"/>
        <v>99.01639344</v>
      </c>
      <c r="V13" s="12"/>
      <c r="W13" s="12"/>
      <c r="X13" s="12"/>
      <c r="Y13" s="6"/>
      <c r="Z13" s="5"/>
    </row>
    <row r="14">
      <c r="A14" s="14">
        <v>45821.0</v>
      </c>
      <c r="B14" s="1" t="s">
        <v>46</v>
      </c>
      <c r="C14" s="1">
        <v>303.0</v>
      </c>
      <c r="D14" s="1">
        <v>300.0</v>
      </c>
      <c r="E14" s="1">
        <v>202.0</v>
      </c>
      <c r="F14" s="1">
        <v>136.0</v>
      </c>
      <c r="G14" s="8">
        <v>0.4533</v>
      </c>
      <c r="H14" s="1">
        <v>7.0</v>
      </c>
      <c r="I14" s="8">
        <v>0.0515</v>
      </c>
      <c r="J14" s="3">
        <v>7.0</v>
      </c>
      <c r="K14" s="9">
        <v>0.0515</v>
      </c>
      <c r="L14" s="1">
        <v>0.0</v>
      </c>
      <c r="M14" s="8">
        <v>0.0</v>
      </c>
      <c r="N14" s="1">
        <v>0.0</v>
      </c>
      <c r="O14" s="8">
        <v>0.0</v>
      </c>
      <c r="P14" s="1">
        <v>6.0</v>
      </c>
      <c r="Q14" s="1">
        <v>0.0</v>
      </c>
      <c r="R14" s="8">
        <v>0.0</v>
      </c>
      <c r="S14" s="1" t="s">
        <v>47</v>
      </c>
      <c r="T14" s="1" t="s">
        <v>23</v>
      </c>
      <c r="U14" s="11">
        <f t="shared" si="1"/>
        <v>99.00990099</v>
      </c>
      <c r="V14" s="12"/>
      <c r="W14" s="12"/>
      <c r="X14" s="12"/>
      <c r="Y14" s="6"/>
      <c r="Z14" s="5"/>
    </row>
    <row r="15">
      <c r="A15" s="14">
        <v>45824.0</v>
      </c>
      <c r="B15" s="1" t="s">
        <v>48</v>
      </c>
      <c r="C15" s="1">
        <v>303.0</v>
      </c>
      <c r="D15" s="1">
        <v>299.0</v>
      </c>
      <c r="E15" s="1">
        <v>200.0</v>
      </c>
      <c r="F15" s="1">
        <v>135.0</v>
      </c>
      <c r="G15" s="8">
        <v>0.4515</v>
      </c>
      <c r="H15" s="1">
        <v>10.0</v>
      </c>
      <c r="I15" s="8">
        <v>0.0741</v>
      </c>
      <c r="J15" s="3">
        <v>10.0</v>
      </c>
      <c r="K15" s="9">
        <v>0.0741</v>
      </c>
      <c r="L15" s="1">
        <v>1.0</v>
      </c>
      <c r="M15" s="8">
        <v>0.0033</v>
      </c>
      <c r="N15" s="1">
        <v>0.0</v>
      </c>
      <c r="O15" s="8">
        <v>0.0</v>
      </c>
      <c r="P15" s="1">
        <v>3.0</v>
      </c>
      <c r="Q15" s="1">
        <v>1.0</v>
      </c>
      <c r="R15" s="8">
        <v>0.3333</v>
      </c>
      <c r="S15" s="1" t="s">
        <v>49</v>
      </c>
      <c r="T15" s="1" t="s">
        <v>23</v>
      </c>
      <c r="U15" s="11">
        <f t="shared" si="1"/>
        <v>98.67986799</v>
      </c>
      <c r="V15" s="12"/>
      <c r="W15" s="12"/>
      <c r="X15" s="12"/>
      <c r="Y15" s="6"/>
      <c r="Z15" s="5"/>
    </row>
    <row r="16">
      <c r="A16" s="14">
        <v>45825.0</v>
      </c>
      <c r="B16" s="1" t="s">
        <v>50</v>
      </c>
      <c r="C16" s="1">
        <v>0.0</v>
      </c>
      <c r="D16" s="1">
        <v>0.0</v>
      </c>
      <c r="E16" s="1">
        <v>0.0</v>
      </c>
      <c r="F16" s="1">
        <v>0.0</v>
      </c>
      <c r="G16" s="13"/>
      <c r="H16" s="1">
        <v>0.0</v>
      </c>
      <c r="I16" s="10"/>
      <c r="J16" s="3">
        <v>0.0</v>
      </c>
      <c r="K16" s="17"/>
      <c r="L16" s="1">
        <v>0.0</v>
      </c>
      <c r="M16" s="10"/>
      <c r="N16" s="1">
        <v>0.0</v>
      </c>
      <c r="O16" s="10"/>
      <c r="P16" s="1">
        <v>42.0</v>
      </c>
      <c r="Q16" s="1">
        <v>2.0</v>
      </c>
      <c r="R16" s="8">
        <v>0.0476</v>
      </c>
      <c r="S16" s="1" t="s">
        <v>51</v>
      </c>
      <c r="T16" s="1" t="s">
        <v>23</v>
      </c>
      <c r="U16" s="11" t="str">
        <f t="shared" si="1"/>
        <v>#DIV/0!</v>
      </c>
      <c r="V16" s="12"/>
      <c r="W16" s="12"/>
      <c r="X16" s="12"/>
      <c r="Y16" s="6"/>
      <c r="Z16" s="5"/>
    </row>
    <row r="17">
      <c r="A17" s="14">
        <v>45826.0</v>
      </c>
      <c r="B17" s="1" t="s">
        <v>52</v>
      </c>
      <c r="C17" s="1">
        <v>797.0</v>
      </c>
      <c r="D17" s="1">
        <v>785.0</v>
      </c>
      <c r="E17" s="1">
        <v>588.0</v>
      </c>
      <c r="F17" s="1">
        <v>439.0</v>
      </c>
      <c r="G17" s="8">
        <v>0.5592</v>
      </c>
      <c r="H17" s="1">
        <v>21.0</v>
      </c>
      <c r="I17" s="8">
        <v>0.0478</v>
      </c>
      <c r="J17" s="3">
        <v>17.0</v>
      </c>
      <c r="K17" s="9">
        <v>0.0387</v>
      </c>
      <c r="L17" s="1">
        <v>7.0</v>
      </c>
      <c r="M17" s="8">
        <v>0.0089</v>
      </c>
      <c r="N17" s="1">
        <v>0.0</v>
      </c>
      <c r="O17" s="8">
        <v>0.0</v>
      </c>
      <c r="P17" s="1">
        <v>5.0</v>
      </c>
      <c r="Q17" s="1">
        <v>0.0</v>
      </c>
      <c r="R17" s="8">
        <v>0.0</v>
      </c>
      <c r="S17" s="1" t="s">
        <v>53</v>
      </c>
      <c r="T17" s="1" t="s">
        <v>23</v>
      </c>
      <c r="U17" s="11">
        <f t="shared" si="1"/>
        <v>98.49435383</v>
      </c>
      <c r="V17" s="12"/>
      <c r="W17" s="12"/>
      <c r="X17" s="12"/>
      <c r="Y17" s="6"/>
      <c r="Z17" s="5"/>
    </row>
    <row r="18">
      <c r="A18" s="14">
        <v>45827.0</v>
      </c>
      <c r="B18" s="1" t="s">
        <v>54</v>
      </c>
      <c r="C18" s="18">
        <v>1288.0</v>
      </c>
      <c r="D18" s="18">
        <v>1270.0</v>
      </c>
      <c r="E18" s="1">
        <v>974.0</v>
      </c>
      <c r="F18" s="1">
        <v>706.0</v>
      </c>
      <c r="G18" s="8">
        <v>0.5559</v>
      </c>
      <c r="H18" s="1">
        <v>23.0</v>
      </c>
      <c r="I18" s="8">
        <v>0.0326</v>
      </c>
      <c r="J18" s="3">
        <v>17.0</v>
      </c>
      <c r="K18" s="9">
        <v>0.0241</v>
      </c>
      <c r="L18" s="1">
        <v>13.0</v>
      </c>
      <c r="M18" s="8">
        <v>0.0102</v>
      </c>
      <c r="N18" s="1">
        <v>0.0</v>
      </c>
      <c r="O18" s="8">
        <v>0.0</v>
      </c>
      <c r="P18" s="1">
        <v>5.0</v>
      </c>
      <c r="Q18" s="1">
        <v>0.0</v>
      </c>
      <c r="R18" s="8">
        <v>0.0</v>
      </c>
      <c r="S18" s="1" t="s">
        <v>55</v>
      </c>
      <c r="T18" s="1" t="s">
        <v>23</v>
      </c>
      <c r="U18" s="11">
        <f t="shared" si="1"/>
        <v>98.60248447</v>
      </c>
      <c r="V18" s="12"/>
      <c r="W18" s="12"/>
      <c r="X18" s="12"/>
      <c r="Y18" s="6"/>
      <c r="Z18" s="5"/>
    </row>
    <row r="19">
      <c r="A19" s="14">
        <v>45828.0</v>
      </c>
      <c r="B19" s="1" t="s">
        <v>56</v>
      </c>
      <c r="C19" s="18">
        <v>2320.0</v>
      </c>
      <c r="D19" s="18">
        <v>2286.0</v>
      </c>
      <c r="E19" s="18">
        <v>1834.0</v>
      </c>
      <c r="F19" s="18">
        <v>1296.0</v>
      </c>
      <c r="G19" s="8">
        <v>0.5669</v>
      </c>
      <c r="H19" s="1">
        <v>42.0</v>
      </c>
      <c r="I19" s="8">
        <v>0.0324</v>
      </c>
      <c r="J19" s="3">
        <v>29.0</v>
      </c>
      <c r="K19" s="9">
        <v>0.0224</v>
      </c>
      <c r="L19" s="1">
        <v>25.0</v>
      </c>
      <c r="M19" s="8">
        <v>0.0109</v>
      </c>
      <c r="N19" s="1">
        <v>1.0</v>
      </c>
      <c r="O19" s="8">
        <v>0.5</v>
      </c>
      <c r="P19" s="1">
        <v>72.0</v>
      </c>
      <c r="Q19" s="1">
        <v>2.0</v>
      </c>
      <c r="R19" s="8">
        <v>0.0278</v>
      </c>
      <c r="S19" s="1" t="s">
        <v>57</v>
      </c>
      <c r="T19" s="1" t="s">
        <v>23</v>
      </c>
      <c r="U19" s="11">
        <f t="shared" si="1"/>
        <v>98.53448276</v>
      </c>
      <c r="V19" s="12"/>
      <c r="W19" s="12"/>
      <c r="X19" s="12"/>
      <c r="Y19" s="6"/>
      <c r="Z19" s="5"/>
    </row>
    <row r="20">
      <c r="A20" s="14">
        <v>45831.0</v>
      </c>
      <c r="B20" s="1" t="s">
        <v>58</v>
      </c>
      <c r="C20" s="18">
        <v>2295.0</v>
      </c>
      <c r="D20" s="18">
        <v>2244.0</v>
      </c>
      <c r="E20" s="18">
        <v>1779.0</v>
      </c>
      <c r="F20" s="18">
        <v>1279.0</v>
      </c>
      <c r="G20" s="8">
        <v>0.57</v>
      </c>
      <c r="H20" s="1">
        <v>49.0</v>
      </c>
      <c r="I20" s="8">
        <v>0.0383</v>
      </c>
      <c r="J20" s="3">
        <v>32.0</v>
      </c>
      <c r="K20" s="9">
        <v>0.025</v>
      </c>
      <c r="L20" s="1">
        <v>25.0</v>
      </c>
      <c r="M20" s="8">
        <v>0.0111</v>
      </c>
      <c r="N20" s="1">
        <v>0.0</v>
      </c>
      <c r="O20" s="8">
        <v>0.0</v>
      </c>
      <c r="P20" s="1">
        <v>8.0</v>
      </c>
      <c r="Q20" s="1">
        <v>1.0</v>
      </c>
      <c r="R20" s="8">
        <v>0.125</v>
      </c>
      <c r="S20" s="1" t="s">
        <v>59</v>
      </c>
      <c r="T20" s="1" t="s">
        <v>23</v>
      </c>
      <c r="U20" s="11">
        <f t="shared" si="1"/>
        <v>97.77777778</v>
      </c>
      <c r="V20" s="12"/>
      <c r="W20" s="12"/>
      <c r="X20" s="12"/>
      <c r="Y20" s="6"/>
      <c r="Z20" s="5"/>
    </row>
    <row r="21">
      <c r="A21" s="14">
        <v>45832.0</v>
      </c>
      <c r="B21" s="1" t="s">
        <v>60</v>
      </c>
      <c r="C21" s="18">
        <v>2271.0</v>
      </c>
      <c r="D21" s="18">
        <v>2217.0</v>
      </c>
      <c r="E21" s="18">
        <v>1400.0</v>
      </c>
      <c r="F21" s="18">
        <v>1004.0</v>
      </c>
      <c r="G21" s="8">
        <v>0.4529</v>
      </c>
      <c r="H21" s="1">
        <v>31.0</v>
      </c>
      <c r="I21" s="8">
        <v>0.0309</v>
      </c>
      <c r="J21" s="3">
        <v>29.0</v>
      </c>
      <c r="K21" s="9">
        <v>0.0289</v>
      </c>
      <c r="L21" s="1">
        <v>22.0</v>
      </c>
      <c r="M21" s="8">
        <v>0.0099</v>
      </c>
      <c r="N21" s="1">
        <v>0.0</v>
      </c>
      <c r="O21" s="8">
        <v>0.0</v>
      </c>
      <c r="P21" s="1">
        <v>19.0</v>
      </c>
      <c r="Q21" s="1">
        <v>0.0</v>
      </c>
      <c r="R21" s="8">
        <v>0.0</v>
      </c>
      <c r="S21" s="1" t="s">
        <v>61</v>
      </c>
      <c r="T21" s="1" t="s">
        <v>23</v>
      </c>
      <c r="U21" s="11">
        <f t="shared" si="1"/>
        <v>97.62219287</v>
      </c>
      <c r="V21" s="12"/>
      <c r="W21" s="12"/>
      <c r="X21" s="12"/>
      <c r="Y21" s="6"/>
      <c r="Z21" s="5"/>
    </row>
    <row r="22">
      <c r="A22" s="14">
        <v>45833.0</v>
      </c>
      <c r="B22" s="1" t="s">
        <v>62</v>
      </c>
      <c r="C22" s="18">
        <v>3241.0</v>
      </c>
      <c r="D22" s="18">
        <v>3177.0</v>
      </c>
      <c r="E22" s="18">
        <v>2541.0</v>
      </c>
      <c r="F22" s="18">
        <v>1883.0</v>
      </c>
      <c r="G22" s="8">
        <v>0.5927</v>
      </c>
      <c r="H22" s="1">
        <v>45.0</v>
      </c>
      <c r="I22" s="8">
        <v>0.0239</v>
      </c>
      <c r="J22" s="3">
        <v>35.0</v>
      </c>
      <c r="K22" s="9">
        <v>0.0186</v>
      </c>
      <c r="L22" s="1">
        <v>35.0</v>
      </c>
      <c r="M22" s="8">
        <v>0.011</v>
      </c>
      <c r="N22" s="1">
        <v>0.0</v>
      </c>
      <c r="O22" s="8">
        <v>0.0</v>
      </c>
      <c r="P22" s="1">
        <v>11.0</v>
      </c>
      <c r="Q22" s="1">
        <v>0.0</v>
      </c>
      <c r="R22" s="8">
        <v>0.0</v>
      </c>
      <c r="S22" s="1" t="s">
        <v>63</v>
      </c>
      <c r="T22" s="1" t="s">
        <v>23</v>
      </c>
      <c r="U22" s="11">
        <f t="shared" si="1"/>
        <v>98.02530083</v>
      </c>
      <c r="V22" s="12"/>
      <c r="W22" s="12"/>
      <c r="X22" s="12"/>
      <c r="Y22" s="6"/>
      <c r="Z22" s="5"/>
    </row>
    <row r="23">
      <c r="A23" s="14">
        <v>45834.0</v>
      </c>
      <c r="B23" s="1" t="s">
        <v>64</v>
      </c>
      <c r="C23" s="18">
        <v>3207.0</v>
      </c>
      <c r="D23" s="18">
        <v>3114.0</v>
      </c>
      <c r="E23" s="18">
        <v>1801.0</v>
      </c>
      <c r="F23" s="18">
        <v>1223.0</v>
      </c>
      <c r="G23" s="8">
        <v>0.3927</v>
      </c>
      <c r="H23" s="1">
        <v>41.0</v>
      </c>
      <c r="I23" s="8">
        <v>0.0335</v>
      </c>
      <c r="J23" s="3">
        <v>34.0</v>
      </c>
      <c r="K23" s="9">
        <v>0.0278</v>
      </c>
      <c r="L23" s="1">
        <v>30.0</v>
      </c>
      <c r="M23" s="8">
        <v>0.0096</v>
      </c>
      <c r="N23" s="1">
        <v>0.0</v>
      </c>
      <c r="O23" s="8">
        <v>0.0</v>
      </c>
      <c r="P23" s="1">
        <v>7.0</v>
      </c>
      <c r="Q23" s="1">
        <v>1.0</v>
      </c>
      <c r="R23" s="8">
        <v>0.1429</v>
      </c>
      <c r="S23" s="1" t="s">
        <v>65</v>
      </c>
      <c r="T23" s="1" t="s">
        <v>23</v>
      </c>
      <c r="U23" s="11">
        <f t="shared" si="1"/>
        <v>97.10009355</v>
      </c>
      <c r="V23" s="12"/>
      <c r="W23" s="12"/>
      <c r="X23" s="12"/>
      <c r="Y23" s="6"/>
      <c r="Z23" s="5"/>
    </row>
    <row r="24">
      <c r="A24" s="14">
        <v>45835.0</v>
      </c>
      <c r="B24" s="1" t="s">
        <v>66</v>
      </c>
      <c r="C24" s="18">
        <v>3177.0</v>
      </c>
      <c r="D24" s="18">
        <v>3087.0</v>
      </c>
      <c r="E24" s="18">
        <v>2481.0</v>
      </c>
      <c r="F24" s="18">
        <v>1821.0</v>
      </c>
      <c r="G24" s="8">
        <v>0.5899</v>
      </c>
      <c r="H24" s="1">
        <v>48.0</v>
      </c>
      <c r="I24" s="8">
        <v>0.0264</v>
      </c>
      <c r="J24" s="3">
        <v>34.0</v>
      </c>
      <c r="K24" s="9">
        <v>0.0187</v>
      </c>
      <c r="L24" s="1">
        <v>31.0</v>
      </c>
      <c r="M24" s="8">
        <v>0.01</v>
      </c>
      <c r="N24" s="1">
        <v>0.0</v>
      </c>
      <c r="O24" s="8">
        <v>0.0</v>
      </c>
      <c r="P24" s="1">
        <v>27.0</v>
      </c>
      <c r="Q24" s="1">
        <v>1.0</v>
      </c>
      <c r="R24" s="8">
        <v>0.037</v>
      </c>
      <c r="S24" s="1" t="s">
        <v>67</v>
      </c>
      <c r="T24" s="1" t="s">
        <v>23</v>
      </c>
      <c r="U24" s="11">
        <f t="shared" si="1"/>
        <v>97.16713881</v>
      </c>
      <c r="V24" s="12"/>
      <c r="W24" s="12"/>
      <c r="X24" s="12"/>
      <c r="Y24" s="6"/>
      <c r="Z24" s="5"/>
    </row>
    <row r="25">
      <c r="A25" s="14">
        <v>45838.0</v>
      </c>
      <c r="B25" s="1" t="s">
        <v>68</v>
      </c>
      <c r="C25" s="18">
        <v>5101.0</v>
      </c>
      <c r="D25" s="18">
        <v>4989.0</v>
      </c>
      <c r="E25" s="18">
        <v>3048.0</v>
      </c>
      <c r="F25" s="18">
        <v>2162.0</v>
      </c>
      <c r="G25" s="8">
        <v>0.4334</v>
      </c>
      <c r="H25" s="1">
        <v>63.0</v>
      </c>
      <c r="I25" s="8">
        <v>0.0291</v>
      </c>
      <c r="J25" s="3">
        <v>55.0</v>
      </c>
      <c r="K25" s="9">
        <v>0.0254</v>
      </c>
      <c r="L25" s="1">
        <v>58.0</v>
      </c>
      <c r="M25" s="8">
        <v>0.0116</v>
      </c>
      <c r="N25" s="1">
        <v>0.0</v>
      </c>
      <c r="O25" s="8">
        <v>0.0</v>
      </c>
      <c r="P25" s="1">
        <v>21.0</v>
      </c>
      <c r="Q25" s="1">
        <v>1.0</v>
      </c>
      <c r="R25" s="8">
        <v>0.0476</v>
      </c>
      <c r="S25" s="1" t="s">
        <v>69</v>
      </c>
      <c r="T25" s="1" t="s">
        <v>23</v>
      </c>
      <c r="U25" s="11">
        <f t="shared" si="1"/>
        <v>97.80435209</v>
      </c>
      <c r="V25" s="12"/>
      <c r="W25" s="12"/>
      <c r="X25" s="12"/>
      <c r="Y25" s="6"/>
      <c r="Z25" s="5"/>
    </row>
    <row r="26">
      <c r="A26" s="14">
        <v>45839.0</v>
      </c>
      <c r="B26" s="1" t="s">
        <v>70</v>
      </c>
      <c r="C26" s="18">
        <v>5044.0</v>
      </c>
      <c r="D26" s="18">
        <v>4914.0</v>
      </c>
      <c r="E26" s="18">
        <v>3623.0</v>
      </c>
      <c r="F26" s="18">
        <v>2637.0</v>
      </c>
      <c r="G26" s="8">
        <v>0.5366</v>
      </c>
      <c r="H26" s="1">
        <v>65.0</v>
      </c>
      <c r="I26" s="8">
        <v>0.0246</v>
      </c>
      <c r="J26" s="3">
        <v>37.0</v>
      </c>
      <c r="K26" s="9">
        <v>0.014</v>
      </c>
      <c r="L26" s="1">
        <v>39.0</v>
      </c>
      <c r="M26" s="8">
        <v>0.0079</v>
      </c>
      <c r="N26" s="1">
        <v>0.0</v>
      </c>
      <c r="O26" s="8">
        <v>0.0</v>
      </c>
      <c r="P26" s="1">
        <v>38.0</v>
      </c>
      <c r="Q26" s="1">
        <v>0.0</v>
      </c>
      <c r="R26" s="8">
        <v>0.0</v>
      </c>
      <c r="S26" s="1" t="s">
        <v>71</v>
      </c>
      <c r="T26" s="1" t="s">
        <v>23</v>
      </c>
      <c r="U26" s="11">
        <f t="shared" si="1"/>
        <v>97.42268041</v>
      </c>
      <c r="V26" s="12"/>
      <c r="W26" s="12"/>
      <c r="X26" s="12"/>
      <c r="Y26" s="6"/>
      <c r="Z26" s="5"/>
    </row>
    <row r="27">
      <c r="A27" s="14">
        <v>45840.0</v>
      </c>
      <c r="B27" s="1" t="s">
        <v>72</v>
      </c>
      <c r="C27" s="18">
        <v>6950.0</v>
      </c>
      <c r="D27" s="18">
        <v>6783.0</v>
      </c>
      <c r="E27" s="18">
        <v>4733.0</v>
      </c>
      <c r="F27" s="18">
        <v>3399.0</v>
      </c>
      <c r="G27" s="8">
        <v>0.5011</v>
      </c>
      <c r="H27" s="1">
        <v>93.0</v>
      </c>
      <c r="I27" s="8">
        <v>0.0274</v>
      </c>
      <c r="J27" s="3">
        <v>67.0</v>
      </c>
      <c r="K27" s="9">
        <v>0.0197</v>
      </c>
      <c r="L27" s="1">
        <v>77.0</v>
      </c>
      <c r="M27" s="8">
        <v>0.0114</v>
      </c>
      <c r="N27" s="1">
        <v>0.0</v>
      </c>
      <c r="O27" s="8">
        <v>0.0</v>
      </c>
      <c r="P27" s="1">
        <v>12.0</v>
      </c>
      <c r="Q27" s="1">
        <v>0.0</v>
      </c>
      <c r="R27" s="8">
        <v>0.0</v>
      </c>
      <c r="S27" s="1" t="s">
        <v>73</v>
      </c>
      <c r="T27" s="1" t="s">
        <v>23</v>
      </c>
      <c r="U27" s="11">
        <f t="shared" si="1"/>
        <v>97.5971223</v>
      </c>
      <c r="V27" s="12"/>
      <c r="W27" s="12"/>
      <c r="X27" s="12"/>
      <c r="Y27" s="6"/>
      <c r="Z27" s="5"/>
    </row>
    <row r="28">
      <c r="A28" s="14">
        <v>45841.0</v>
      </c>
      <c r="B28" s="1" t="s">
        <v>74</v>
      </c>
      <c r="C28" s="18">
        <v>6975.0</v>
      </c>
      <c r="D28" s="18">
        <v>6788.0</v>
      </c>
      <c r="E28" s="18">
        <v>4643.0</v>
      </c>
      <c r="F28" s="18">
        <v>3339.0</v>
      </c>
      <c r="G28" s="8">
        <v>0.4919</v>
      </c>
      <c r="H28" s="1">
        <v>90.0</v>
      </c>
      <c r="I28" s="8">
        <v>0.027</v>
      </c>
      <c r="J28" s="3">
        <v>61.0</v>
      </c>
      <c r="K28" s="9">
        <v>0.0183</v>
      </c>
      <c r="L28" s="1">
        <v>72.0</v>
      </c>
      <c r="M28" s="8">
        <v>0.0106</v>
      </c>
      <c r="N28" s="1">
        <v>0.0</v>
      </c>
      <c r="O28" s="8">
        <v>0.0</v>
      </c>
      <c r="P28" s="1">
        <v>25.0</v>
      </c>
      <c r="Q28" s="1">
        <v>0.0</v>
      </c>
      <c r="R28" s="8">
        <v>0.0</v>
      </c>
      <c r="S28" s="1" t="s">
        <v>75</v>
      </c>
      <c r="T28" s="1" t="s">
        <v>23</v>
      </c>
      <c r="U28" s="11">
        <f t="shared" si="1"/>
        <v>97.31899642</v>
      </c>
      <c r="V28" s="12"/>
      <c r="W28" s="12"/>
      <c r="X28" s="12"/>
      <c r="Y28" s="6"/>
      <c r="Z28" s="5"/>
    </row>
    <row r="29">
      <c r="A29" s="14">
        <v>45842.0</v>
      </c>
      <c r="B29" s="1" t="s">
        <v>76</v>
      </c>
      <c r="C29" s="18">
        <v>6915.0</v>
      </c>
      <c r="D29" s="18">
        <v>6706.0</v>
      </c>
      <c r="E29" s="18">
        <v>5455.0</v>
      </c>
      <c r="F29" s="18">
        <v>3940.0</v>
      </c>
      <c r="G29" s="8">
        <v>0.5875</v>
      </c>
      <c r="H29" s="1">
        <v>90.0</v>
      </c>
      <c r="I29" s="8">
        <v>0.0228</v>
      </c>
      <c r="J29" s="3">
        <v>52.0</v>
      </c>
      <c r="K29" s="9">
        <v>0.0132</v>
      </c>
      <c r="L29" s="1">
        <v>53.0</v>
      </c>
      <c r="M29" s="8">
        <v>0.0079</v>
      </c>
      <c r="N29" s="1">
        <v>0.0</v>
      </c>
      <c r="O29" s="8">
        <v>0.0</v>
      </c>
      <c r="P29" s="1">
        <v>12.0</v>
      </c>
      <c r="Q29" s="1">
        <v>1.0</v>
      </c>
      <c r="R29" s="8">
        <v>0.0833</v>
      </c>
      <c r="S29" s="1" t="s">
        <v>77</v>
      </c>
      <c r="T29" s="1" t="s">
        <v>23</v>
      </c>
      <c r="U29" s="11">
        <f t="shared" si="1"/>
        <v>96.97758496</v>
      </c>
      <c r="V29" s="12"/>
      <c r="W29" s="12"/>
      <c r="X29" s="12"/>
      <c r="Y29" s="6"/>
      <c r="Z29" s="5"/>
    </row>
    <row r="30">
      <c r="A30" s="14">
        <v>45845.0</v>
      </c>
      <c r="B30" s="1" t="s">
        <v>78</v>
      </c>
      <c r="C30" s="18">
        <v>8817.0</v>
      </c>
      <c r="D30" s="18">
        <v>8589.0</v>
      </c>
      <c r="E30" s="18">
        <v>6289.0</v>
      </c>
      <c r="F30" s="18">
        <v>4642.0</v>
      </c>
      <c r="G30" s="8">
        <v>0.5405</v>
      </c>
      <c r="H30" s="1">
        <v>105.0</v>
      </c>
      <c r="I30" s="8">
        <v>0.0226</v>
      </c>
      <c r="J30" s="3">
        <v>70.0</v>
      </c>
      <c r="K30" s="9">
        <v>0.0151</v>
      </c>
      <c r="L30" s="1">
        <v>78.0</v>
      </c>
      <c r="M30" s="8">
        <v>0.0091</v>
      </c>
      <c r="N30" s="1">
        <v>0.0</v>
      </c>
      <c r="O30" s="8">
        <v>0.0</v>
      </c>
      <c r="P30" s="1">
        <v>33.0</v>
      </c>
      <c r="Q30" s="1">
        <v>0.0</v>
      </c>
      <c r="R30" s="8">
        <v>0.0</v>
      </c>
      <c r="S30" s="1" t="s">
        <v>79</v>
      </c>
      <c r="T30" s="1" t="s">
        <v>23</v>
      </c>
      <c r="U30" s="11">
        <f t="shared" si="1"/>
        <v>97.41408642</v>
      </c>
      <c r="V30" s="12"/>
      <c r="W30" s="12"/>
      <c r="X30" s="12"/>
      <c r="Y30" s="6"/>
      <c r="Z30" s="5"/>
    </row>
    <row r="31">
      <c r="A31" s="14">
        <v>45846.0</v>
      </c>
      <c r="B31" s="1" t="s">
        <v>80</v>
      </c>
      <c r="C31" s="18">
        <v>8717.0</v>
      </c>
      <c r="D31" s="18">
        <v>8457.0</v>
      </c>
      <c r="E31" s="18">
        <v>5977.0</v>
      </c>
      <c r="F31" s="18">
        <v>4435.0</v>
      </c>
      <c r="G31" s="8">
        <v>0.5244</v>
      </c>
      <c r="H31" s="1">
        <v>79.0</v>
      </c>
      <c r="I31" s="8">
        <v>0.0178</v>
      </c>
      <c r="J31" s="3">
        <v>64.0</v>
      </c>
      <c r="K31" s="9">
        <v>0.0144</v>
      </c>
      <c r="L31" s="1">
        <v>89.0</v>
      </c>
      <c r="M31" s="8">
        <v>0.0105</v>
      </c>
      <c r="N31" s="1">
        <v>0.0</v>
      </c>
      <c r="O31" s="8">
        <v>0.0</v>
      </c>
      <c r="P31" s="1">
        <v>24.0</v>
      </c>
      <c r="Q31" s="1">
        <v>0.0</v>
      </c>
      <c r="R31" s="8">
        <v>0.0</v>
      </c>
      <c r="S31" s="1" t="s">
        <v>81</v>
      </c>
      <c r="T31" s="1" t="s">
        <v>23</v>
      </c>
      <c r="U31" s="11">
        <f t="shared" si="1"/>
        <v>97.01732247</v>
      </c>
      <c r="V31" s="12"/>
      <c r="W31" s="12"/>
      <c r="X31" s="12"/>
      <c r="Y31" s="6"/>
      <c r="Z31" s="5"/>
    </row>
    <row r="32">
      <c r="A32" s="14">
        <v>45847.0</v>
      </c>
      <c r="B32" s="1" t="s">
        <v>82</v>
      </c>
      <c r="C32" s="1">
        <v>97.0</v>
      </c>
      <c r="D32" s="1">
        <v>84.0</v>
      </c>
      <c r="E32" s="1">
        <v>31.0</v>
      </c>
      <c r="F32" s="1">
        <v>24.0</v>
      </c>
      <c r="G32" s="8">
        <v>0.2857</v>
      </c>
      <c r="H32" s="1">
        <v>1.0</v>
      </c>
      <c r="I32" s="8">
        <v>0.0417</v>
      </c>
      <c r="J32" s="3">
        <v>1.0</v>
      </c>
      <c r="K32" s="9">
        <v>0.0417</v>
      </c>
      <c r="L32" s="1">
        <v>1.0</v>
      </c>
      <c r="M32" s="8">
        <v>0.0119</v>
      </c>
      <c r="N32" s="1">
        <v>0.0</v>
      </c>
      <c r="O32" s="10"/>
      <c r="P32" s="1">
        <v>0.0</v>
      </c>
      <c r="Q32" s="1">
        <v>0.0</v>
      </c>
      <c r="R32" s="10"/>
      <c r="S32" s="1" t="s">
        <v>83</v>
      </c>
      <c r="T32" s="1" t="s">
        <v>23</v>
      </c>
      <c r="U32" s="11">
        <f t="shared" si="1"/>
        <v>86.59793814</v>
      </c>
      <c r="V32" s="12"/>
      <c r="W32" s="12"/>
      <c r="X32" s="12"/>
      <c r="Y32" s="6"/>
      <c r="Z32" s="5"/>
    </row>
    <row r="33">
      <c r="A33" s="14">
        <v>45847.0</v>
      </c>
      <c r="B33" s="1" t="s">
        <v>82</v>
      </c>
      <c r="C33" s="18">
        <v>12429.0</v>
      </c>
      <c r="D33" s="18">
        <v>12134.0</v>
      </c>
      <c r="E33" s="18">
        <v>9532.0</v>
      </c>
      <c r="F33" s="18">
        <v>7067.0</v>
      </c>
      <c r="G33" s="8">
        <v>0.5824</v>
      </c>
      <c r="H33" s="1">
        <v>148.0</v>
      </c>
      <c r="I33" s="8">
        <v>0.0209</v>
      </c>
      <c r="J33" s="3">
        <v>119.0</v>
      </c>
      <c r="K33" s="9">
        <v>0.0168</v>
      </c>
      <c r="L33" s="1">
        <v>148.0</v>
      </c>
      <c r="M33" s="8">
        <v>0.0122</v>
      </c>
      <c r="N33" s="1">
        <v>0.0</v>
      </c>
      <c r="O33" s="8">
        <v>0.0</v>
      </c>
      <c r="P33" s="1">
        <v>34.0</v>
      </c>
      <c r="Q33" s="1">
        <v>2.0</v>
      </c>
      <c r="R33" s="8">
        <v>0.0588</v>
      </c>
      <c r="S33" s="1" t="s">
        <v>84</v>
      </c>
      <c r="T33" s="1" t="s">
        <v>23</v>
      </c>
      <c r="U33" s="11">
        <f t="shared" si="1"/>
        <v>97.62651863</v>
      </c>
      <c r="V33" s="12"/>
      <c r="W33" s="12"/>
      <c r="X33" s="12"/>
      <c r="Y33" s="6"/>
      <c r="Z33" s="5"/>
    </row>
    <row r="34">
      <c r="A34" s="14">
        <v>45848.0</v>
      </c>
      <c r="B34" s="1" t="s">
        <v>85</v>
      </c>
      <c r="C34" s="18">
        <v>12378.0</v>
      </c>
      <c r="D34" s="18">
        <v>12004.0</v>
      </c>
      <c r="E34" s="18">
        <v>8150.0</v>
      </c>
      <c r="F34" s="18">
        <v>6016.0</v>
      </c>
      <c r="G34" s="8">
        <v>0.5012</v>
      </c>
      <c r="H34" s="1">
        <v>101.0</v>
      </c>
      <c r="I34" s="8">
        <v>0.0168</v>
      </c>
      <c r="J34" s="3">
        <v>73.0</v>
      </c>
      <c r="K34" s="9">
        <v>0.0121</v>
      </c>
      <c r="L34" s="1">
        <v>92.0</v>
      </c>
      <c r="M34" s="8">
        <v>0.0077</v>
      </c>
      <c r="N34" s="1">
        <v>0.0</v>
      </c>
      <c r="O34" s="8">
        <v>0.0</v>
      </c>
      <c r="P34" s="1">
        <v>26.0</v>
      </c>
      <c r="Q34" s="1">
        <v>1.0</v>
      </c>
      <c r="R34" s="8">
        <v>0.0385</v>
      </c>
      <c r="S34" s="1" t="s">
        <v>86</v>
      </c>
      <c r="T34" s="1" t="s">
        <v>23</v>
      </c>
      <c r="U34" s="11">
        <f t="shared" si="1"/>
        <v>96.97851026</v>
      </c>
      <c r="V34" s="12"/>
      <c r="W34" s="12"/>
      <c r="X34" s="12"/>
      <c r="Y34" s="6"/>
      <c r="Z34" s="5"/>
    </row>
    <row r="35">
      <c r="A35" s="14">
        <v>45849.0</v>
      </c>
      <c r="B35" s="1" t="s">
        <v>87</v>
      </c>
      <c r="C35" s="18">
        <v>12282.0</v>
      </c>
      <c r="D35" s="18">
        <v>11892.0</v>
      </c>
      <c r="E35" s="18">
        <v>5556.0</v>
      </c>
      <c r="F35" s="18">
        <v>3878.0</v>
      </c>
      <c r="G35" s="8">
        <v>0.3261</v>
      </c>
      <c r="H35" s="1">
        <v>133.0</v>
      </c>
      <c r="I35" s="8">
        <v>0.0343</v>
      </c>
      <c r="J35" s="3">
        <v>71.0</v>
      </c>
      <c r="K35" s="9">
        <v>0.0183</v>
      </c>
      <c r="L35" s="1">
        <v>86.0</v>
      </c>
      <c r="M35" s="8">
        <v>0.0072</v>
      </c>
      <c r="N35" s="1">
        <v>0.0</v>
      </c>
      <c r="O35" s="8">
        <v>0.0</v>
      </c>
      <c r="P35" s="1">
        <v>24.0</v>
      </c>
      <c r="Q35" s="1">
        <v>1.0</v>
      </c>
      <c r="R35" s="8">
        <v>0.0417</v>
      </c>
      <c r="S35" s="1" t="s">
        <v>88</v>
      </c>
      <c r="T35" s="1" t="s">
        <v>23</v>
      </c>
      <c r="U35" s="11">
        <f t="shared" si="1"/>
        <v>96.8246214</v>
      </c>
      <c r="V35" s="12"/>
      <c r="W35" s="12"/>
      <c r="X35" s="12"/>
      <c r="Y35" s="6"/>
      <c r="Z35" s="5"/>
    </row>
    <row r="36">
      <c r="A36" s="14">
        <v>45852.0</v>
      </c>
      <c r="B36" s="1" t="s">
        <v>89</v>
      </c>
      <c r="C36" s="18">
        <v>14712.0</v>
      </c>
      <c r="D36" s="18">
        <v>14287.0</v>
      </c>
      <c r="E36" s="18">
        <v>6023.0</v>
      </c>
      <c r="F36" s="18">
        <v>4282.0</v>
      </c>
      <c r="G36" s="8">
        <v>0.2997</v>
      </c>
      <c r="H36" s="1">
        <v>129.0</v>
      </c>
      <c r="I36" s="8">
        <v>0.0301</v>
      </c>
      <c r="J36" s="3">
        <v>87.0</v>
      </c>
      <c r="K36" s="9">
        <v>0.0203</v>
      </c>
      <c r="L36" s="1">
        <v>92.0</v>
      </c>
      <c r="M36" s="8">
        <v>0.0064</v>
      </c>
      <c r="N36" s="1">
        <v>0.0</v>
      </c>
      <c r="O36" s="8">
        <v>0.0</v>
      </c>
      <c r="P36" s="1">
        <v>66.0</v>
      </c>
      <c r="Q36" s="1">
        <v>0.0</v>
      </c>
      <c r="R36" s="8">
        <v>0.0</v>
      </c>
      <c r="S36" s="1" t="s">
        <v>90</v>
      </c>
      <c r="T36" s="1" t="s">
        <v>23</v>
      </c>
      <c r="U36" s="11">
        <f t="shared" si="1"/>
        <v>97.11120174</v>
      </c>
      <c r="V36" s="12"/>
      <c r="W36" s="12"/>
      <c r="X36" s="12"/>
      <c r="Y36" s="6"/>
      <c r="Z36" s="5"/>
    </row>
    <row r="37">
      <c r="A37" s="14">
        <v>45853.0</v>
      </c>
      <c r="B37" s="1" t="s">
        <v>91</v>
      </c>
      <c r="C37" s="18">
        <v>15591.0</v>
      </c>
      <c r="D37" s="18">
        <v>15108.0</v>
      </c>
      <c r="E37" s="18">
        <v>6380.0</v>
      </c>
      <c r="F37" s="18">
        <v>4509.0</v>
      </c>
      <c r="G37" s="8">
        <v>0.2985</v>
      </c>
      <c r="H37" s="1">
        <v>158.0</v>
      </c>
      <c r="I37" s="8">
        <v>0.035</v>
      </c>
      <c r="J37" s="3">
        <v>69.0</v>
      </c>
      <c r="K37" s="9">
        <v>0.0153</v>
      </c>
      <c r="L37" s="1">
        <v>76.0</v>
      </c>
      <c r="M37" s="8">
        <v>0.005</v>
      </c>
      <c r="N37" s="1">
        <v>1.0</v>
      </c>
      <c r="O37" s="8">
        <v>0.08333</v>
      </c>
      <c r="P37" s="1">
        <v>23.0</v>
      </c>
      <c r="Q37" s="1">
        <v>1.0</v>
      </c>
      <c r="R37" s="8">
        <v>0.0435</v>
      </c>
      <c r="S37" s="1" t="s">
        <v>92</v>
      </c>
      <c r="T37" s="1" t="s">
        <v>23</v>
      </c>
      <c r="U37" s="11">
        <f t="shared" si="1"/>
        <v>96.90205888</v>
      </c>
      <c r="V37" s="12"/>
      <c r="W37" s="12"/>
      <c r="X37" s="12"/>
      <c r="Y37" s="6"/>
      <c r="Z37" s="5"/>
    </row>
    <row r="38">
      <c r="A38" s="14">
        <v>45854.0</v>
      </c>
      <c r="B38" s="1" t="s">
        <v>93</v>
      </c>
      <c r="C38" s="18">
        <v>13182.0</v>
      </c>
      <c r="D38" s="18">
        <v>12790.0</v>
      </c>
      <c r="E38" s="18">
        <v>5709.0</v>
      </c>
      <c r="F38" s="18">
        <v>3682.0</v>
      </c>
      <c r="G38" s="8">
        <v>0.2879</v>
      </c>
      <c r="H38" s="1">
        <v>70.0</v>
      </c>
      <c r="I38" s="8">
        <v>0.019</v>
      </c>
      <c r="J38" s="3">
        <v>57.0</v>
      </c>
      <c r="K38" s="9">
        <v>0.0155</v>
      </c>
      <c r="L38" s="1">
        <v>70.0</v>
      </c>
      <c r="M38" s="8">
        <v>0.0055</v>
      </c>
      <c r="N38" s="1">
        <v>0.0</v>
      </c>
      <c r="O38" s="8">
        <v>0.0</v>
      </c>
      <c r="P38" s="1">
        <v>25.0</v>
      </c>
      <c r="Q38" s="1">
        <v>2.0</v>
      </c>
      <c r="R38" s="8">
        <v>0.08</v>
      </c>
      <c r="S38" s="1" t="s">
        <v>94</v>
      </c>
      <c r="T38" s="1" t="s">
        <v>23</v>
      </c>
      <c r="U38" s="11">
        <f t="shared" si="1"/>
        <v>97.02624791</v>
      </c>
      <c r="V38" s="12"/>
      <c r="W38" s="12"/>
      <c r="X38" s="12"/>
      <c r="Y38" s="6"/>
      <c r="Z38" s="5"/>
    </row>
    <row r="39">
      <c r="A39" s="14">
        <v>45855.0</v>
      </c>
      <c r="B39" s="1" t="s">
        <v>95</v>
      </c>
      <c r="C39" s="18">
        <v>13220.0</v>
      </c>
      <c r="D39" s="18">
        <v>12891.0</v>
      </c>
      <c r="E39" s="18">
        <v>4948.0</v>
      </c>
      <c r="F39" s="18">
        <v>3539.0</v>
      </c>
      <c r="G39" s="8">
        <v>0.2745</v>
      </c>
      <c r="H39" s="1">
        <v>119.0</v>
      </c>
      <c r="I39" s="8">
        <v>0.0336</v>
      </c>
      <c r="J39" s="3">
        <v>65.0</v>
      </c>
      <c r="K39" s="9">
        <v>0.0184</v>
      </c>
      <c r="L39" s="1">
        <v>61.0</v>
      </c>
      <c r="M39" s="8">
        <v>0.0047</v>
      </c>
      <c r="N39" s="1">
        <v>0.0</v>
      </c>
      <c r="O39" s="8">
        <v>0.0</v>
      </c>
      <c r="P39" s="1">
        <v>20.0</v>
      </c>
      <c r="Q39" s="1">
        <v>0.0</v>
      </c>
      <c r="R39" s="8">
        <v>0.0</v>
      </c>
      <c r="S39" s="1" t="s">
        <v>96</v>
      </c>
      <c r="T39" s="1" t="s">
        <v>23</v>
      </c>
      <c r="U39" s="11">
        <f t="shared" si="1"/>
        <v>97.51134644</v>
      </c>
      <c r="V39" s="12"/>
      <c r="W39" s="12"/>
      <c r="X39" s="12"/>
      <c r="Y39" s="6"/>
      <c r="Z39" s="5"/>
    </row>
    <row r="40">
      <c r="A40" s="14">
        <v>45856.0</v>
      </c>
      <c r="B40" s="1" t="s">
        <v>97</v>
      </c>
      <c r="C40" s="18">
        <v>12468.0</v>
      </c>
      <c r="D40" s="18">
        <v>12178.0</v>
      </c>
      <c r="E40" s="18">
        <v>8449.0</v>
      </c>
      <c r="F40" s="18">
        <v>6446.0</v>
      </c>
      <c r="G40" s="8">
        <v>0.5293</v>
      </c>
      <c r="H40" s="1">
        <v>95.0</v>
      </c>
      <c r="I40" s="8">
        <v>0.0147</v>
      </c>
      <c r="J40" s="3">
        <v>49.0</v>
      </c>
      <c r="K40" s="9">
        <v>0.0076</v>
      </c>
      <c r="L40" s="1">
        <v>49.0</v>
      </c>
      <c r="M40" s="8">
        <v>0.004</v>
      </c>
      <c r="N40" s="1">
        <v>0.0</v>
      </c>
      <c r="O40" s="8">
        <v>0.0</v>
      </c>
      <c r="P40" s="1">
        <v>20.0</v>
      </c>
      <c r="Q40" s="1">
        <v>0.0</v>
      </c>
      <c r="R40" s="8">
        <v>0.0</v>
      </c>
      <c r="S40" s="1" t="s">
        <v>98</v>
      </c>
      <c r="T40" s="1" t="s">
        <v>23</v>
      </c>
      <c r="U40" s="11">
        <f t="shared" si="1"/>
        <v>97.67404556</v>
      </c>
      <c r="V40" s="12"/>
      <c r="W40" s="12"/>
      <c r="X40" s="12"/>
      <c r="Y40" s="6"/>
      <c r="Z40" s="5"/>
    </row>
    <row r="41">
      <c r="A41" s="14">
        <v>45859.0</v>
      </c>
      <c r="B41" s="1" t="s">
        <v>99</v>
      </c>
      <c r="C41" s="18">
        <v>16008.0</v>
      </c>
      <c r="D41" s="18">
        <v>15563.0</v>
      </c>
      <c r="E41" s="18">
        <v>5426.0</v>
      </c>
      <c r="F41" s="18">
        <v>3859.0</v>
      </c>
      <c r="G41" s="8">
        <v>0.248</v>
      </c>
      <c r="H41" s="1">
        <v>80.0</v>
      </c>
      <c r="I41" s="8">
        <v>0.0207</v>
      </c>
      <c r="J41" s="3">
        <v>61.0</v>
      </c>
      <c r="K41" s="9">
        <v>0.0158</v>
      </c>
      <c r="L41" s="1">
        <v>78.0</v>
      </c>
      <c r="M41" s="8">
        <v>0.005</v>
      </c>
      <c r="N41" s="1">
        <v>1.0</v>
      </c>
      <c r="O41" s="8">
        <v>0.1</v>
      </c>
      <c r="P41" s="1">
        <v>24.0</v>
      </c>
      <c r="Q41" s="1">
        <v>0.0</v>
      </c>
      <c r="R41" s="8">
        <v>0.0</v>
      </c>
      <c r="S41" s="1" t="s">
        <v>100</v>
      </c>
      <c r="T41" s="1" t="s">
        <v>23</v>
      </c>
      <c r="U41" s="11">
        <f t="shared" si="1"/>
        <v>97.22013993</v>
      </c>
      <c r="V41" s="12"/>
      <c r="W41" s="12"/>
      <c r="X41" s="12"/>
      <c r="Y41" s="6"/>
      <c r="Z41" s="5"/>
    </row>
    <row r="42">
      <c r="A42" s="14">
        <v>45860.0</v>
      </c>
      <c r="B42" s="1" t="s">
        <v>101</v>
      </c>
      <c r="C42" s="18">
        <v>15934.0</v>
      </c>
      <c r="D42" s="18">
        <v>14956.0</v>
      </c>
      <c r="E42" s="18">
        <v>9920.0</v>
      </c>
      <c r="F42" s="18">
        <v>7995.0</v>
      </c>
      <c r="G42" s="8">
        <v>0.5346</v>
      </c>
      <c r="H42" s="1">
        <v>100.0</v>
      </c>
      <c r="I42" s="8">
        <v>0.0125</v>
      </c>
      <c r="J42" s="3">
        <v>52.0</v>
      </c>
      <c r="K42" s="9">
        <v>0.0065</v>
      </c>
      <c r="L42" s="1">
        <v>63.0</v>
      </c>
      <c r="M42" s="8">
        <v>0.0042</v>
      </c>
      <c r="N42" s="1">
        <v>0.0</v>
      </c>
      <c r="O42" s="8">
        <v>0.0</v>
      </c>
      <c r="P42" s="1">
        <v>119.0</v>
      </c>
      <c r="Q42" s="1">
        <v>0.0</v>
      </c>
      <c r="R42" s="8">
        <v>0.0</v>
      </c>
      <c r="S42" s="1" t="s">
        <v>102</v>
      </c>
      <c r="T42" s="1" t="s">
        <v>23</v>
      </c>
      <c r="U42" s="11">
        <f t="shared" si="1"/>
        <v>93.8621815</v>
      </c>
      <c r="V42" s="12"/>
      <c r="W42" s="12"/>
      <c r="X42" s="12"/>
      <c r="Y42" s="6"/>
      <c r="Z42" s="5"/>
    </row>
    <row r="43">
      <c r="A43" s="14">
        <v>45861.0</v>
      </c>
      <c r="B43" s="1" t="s">
        <v>103</v>
      </c>
      <c r="C43" s="18">
        <v>16540.0</v>
      </c>
      <c r="D43" s="18">
        <v>15536.0</v>
      </c>
      <c r="E43" s="18">
        <v>11296.0</v>
      </c>
      <c r="F43" s="18">
        <v>8766.0</v>
      </c>
      <c r="G43" s="8">
        <v>0.5642</v>
      </c>
      <c r="H43" s="1">
        <v>109.0</v>
      </c>
      <c r="I43" s="8">
        <v>0.0124</v>
      </c>
      <c r="J43" s="3">
        <v>69.0</v>
      </c>
      <c r="K43" s="9">
        <v>0.0079</v>
      </c>
      <c r="L43" s="1">
        <v>81.0</v>
      </c>
      <c r="M43" s="8">
        <v>0.0052</v>
      </c>
      <c r="N43" s="1">
        <v>0.0</v>
      </c>
      <c r="O43" s="8">
        <v>0.0</v>
      </c>
      <c r="P43" s="1">
        <v>37.0</v>
      </c>
      <c r="Q43" s="1">
        <v>0.0</v>
      </c>
      <c r="R43" s="8">
        <v>0.0</v>
      </c>
      <c r="S43" s="1" t="s">
        <v>104</v>
      </c>
      <c r="T43" s="1" t="s">
        <v>23</v>
      </c>
      <c r="U43" s="11">
        <f t="shared" si="1"/>
        <v>93.92986699</v>
      </c>
      <c r="V43" s="12"/>
      <c r="W43" s="12"/>
      <c r="X43" s="12"/>
      <c r="Y43" s="6"/>
      <c r="Z43" s="5"/>
    </row>
    <row r="44">
      <c r="A44" s="14">
        <v>45862.0</v>
      </c>
      <c r="B44" s="1" t="s">
        <v>105</v>
      </c>
      <c r="C44" s="18">
        <v>16107.0</v>
      </c>
      <c r="D44" s="18">
        <v>15114.0</v>
      </c>
      <c r="E44" s="18">
        <v>11794.0</v>
      </c>
      <c r="F44" s="18">
        <v>9425.0</v>
      </c>
      <c r="G44" s="8">
        <v>0.6236</v>
      </c>
      <c r="H44" s="1">
        <v>69.0</v>
      </c>
      <c r="I44" s="8">
        <v>0.0073</v>
      </c>
      <c r="J44" s="3">
        <v>32.0</v>
      </c>
      <c r="K44" s="9">
        <v>0.0034</v>
      </c>
      <c r="L44" s="1">
        <v>43.0</v>
      </c>
      <c r="M44" s="8">
        <v>0.0028</v>
      </c>
      <c r="N44" s="1">
        <v>0.0</v>
      </c>
      <c r="O44" s="8">
        <v>0.0</v>
      </c>
      <c r="P44" s="1">
        <v>30.0</v>
      </c>
      <c r="Q44" s="1">
        <v>0.0</v>
      </c>
      <c r="R44" s="8">
        <v>0.0</v>
      </c>
      <c r="S44" s="1" t="s">
        <v>106</v>
      </c>
      <c r="T44" s="1" t="s">
        <v>23</v>
      </c>
      <c r="U44" s="11">
        <f t="shared" si="1"/>
        <v>93.83497858</v>
      </c>
      <c r="V44" s="12"/>
      <c r="W44" s="12"/>
      <c r="X44" s="12"/>
      <c r="Y44" s="6"/>
      <c r="Z44" s="5"/>
    </row>
    <row r="45">
      <c r="A45" s="14">
        <v>45863.0</v>
      </c>
      <c r="B45" s="1" t="s">
        <v>107</v>
      </c>
      <c r="C45" s="18">
        <v>14840.0</v>
      </c>
      <c r="D45" s="18">
        <v>13942.0</v>
      </c>
      <c r="E45" s="18">
        <v>11638.0</v>
      </c>
      <c r="F45" s="18">
        <v>9207.0</v>
      </c>
      <c r="G45" s="8">
        <v>0.6604</v>
      </c>
      <c r="H45" s="1">
        <v>165.0</v>
      </c>
      <c r="I45" s="8">
        <v>0.0179</v>
      </c>
      <c r="J45" s="3">
        <v>59.0</v>
      </c>
      <c r="K45" s="9">
        <v>0.0064</v>
      </c>
      <c r="L45" s="1">
        <v>65.0</v>
      </c>
      <c r="M45" s="8">
        <v>0.0047</v>
      </c>
      <c r="N45" s="1">
        <v>0.0</v>
      </c>
      <c r="O45" s="8">
        <v>0.0</v>
      </c>
      <c r="P45" s="1">
        <v>85.0</v>
      </c>
      <c r="Q45" s="1">
        <v>2.0</v>
      </c>
      <c r="R45" s="8">
        <v>0.0235</v>
      </c>
      <c r="S45" s="1" t="s">
        <v>108</v>
      </c>
      <c r="T45" s="1" t="s">
        <v>23</v>
      </c>
      <c r="U45" s="11">
        <f t="shared" si="1"/>
        <v>93.94878706</v>
      </c>
      <c r="V45" s="12"/>
      <c r="W45" s="12"/>
      <c r="X45" s="12"/>
      <c r="Y45" s="6"/>
      <c r="Z45" s="5"/>
    </row>
    <row r="46">
      <c r="A46" s="14">
        <v>45866.0</v>
      </c>
      <c r="B46" s="1" t="s">
        <v>109</v>
      </c>
      <c r="C46" s="18">
        <v>36545.0</v>
      </c>
      <c r="D46" s="18">
        <v>35406.0</v>
      </c>
      <c r="E46" s="18">
        <v>24864.0</v>
      </c>
      <c r="F46" s="18">
        <v>20425.0</v>
      </c>
      <c r="G46" s="8">
        <v>0.5769</v>
      </c>
      <c r="H46" s="1">
        <v>227.0</v>
      </c>
      <c r="I46" s="8">
        <v>0.0111</v>
      </c>
      <c r="J46" s="3">
        <v>144.0</v>
      </c>
      <c r="K46" s="9">
        <v>0.0071</v>
      </c>
      <c r="L46" s="1">
        <v>227.0</v>
      </c>
      <c r="M46" s="8">
        <v>0.0064</v>
      </c>
      <c r="N46" s="1">
        <v>2.0</v>
      </c>
      <c r="O46" s="8">
        <v>0.11111</v>
      </c>
      <c r="P46" s="1">
        <v>73.0</v>
      </c>
      <c r="Q46" s="1">
        <v>2.0</v>
      </c>
      <c r="R46" s="8">
        <v>0.0274</v>
      </c>
      <c r="S46" s="1" t="s">
        <v>110</v>
      </c>
      <c r="T46" s="1" t="s">
        <v>23</v>
      </c>
      <c r="U46" s="11">
        <f t="shared" si="1"/>
        <v>96.88329457</v>
      </c>
      <c r="V46" s="12"/>
      <c r="W46" s="12"/>
      <c r="X46" s="12"/>
      <c r="Y46" s="6"/>
      <c r="Z46" s="5"/>
    </row>
    <row r="47">
      <c r="A47" s="14">
        <v>45867.0</v>
      </c>
      <c r="B47" s="1" t="s">
        <v>111</v>
      </c>
      <c r="C47" s="18">
        <v>36326.0</v>
      </c>
      <c r="D47" s="18">
        <v>34888.0</v>
      </c>
      <c r="E47" s="18">
        <v>23715.0</v>
      </c>
      <c r="F47" s="18">
        <v>19978.0</v>
      </c>
      <c r="G47" s="8">
        <v>0.5726</v>
      </c>
      <c r="H47" s="1">
        <v>195.0</v>
      </c>
      <c r="I47" s="8">
        <v>0.0098</v>
      </c>
      <c r="J47" s="3">
        <v>102.0</v>
      </c>
      <c r="K47" s="9">
        <v>0.0051</v>
      </c>
      <c r="L47" s="1">
        <v>185.0</v>
      </c>
      <c r="M47" s="8">
        <v>0.0053</v>
      </c>
      <c r="N47" s="1">
        <v>2.0</v>
      </c>
      <c r="O47" s="8">
        <v>0.11111</v>
      </c>
      <c r="P47" s="1">
        <v>81.0</v>
      </c>
      <c r="Q47" s="1">
        <v>1.0</v>
      </c>
      <c r="R47" s="8">
        <v>0.0123</v>
      </c>
      <c r="S47" s="1" t="s">
        <v>112</v>
      </c>
      <c r="T47" s="1" t="s">
        <v>23</v>
      </c>
      <c r="U47" s="11">
        <f t="shared" si="1"/>
        <v>96.04140285</v>
      </c>
      <c r="V47" s="12"/>
      <c r="W47" s="12"/>
      <c r="X47" s="12"/>
      <c r="Y47" s="6"/>
      <c r="Z47" s="5"/>
    </row>
    <row r="48">
      <c r="A48" s="14">
        <v>45868.0</v>
      </c>
      <c r="B48" s="1" t="s">
        <v>113</v>
      </c>
      <c r="C48" s="18">
        <v>39264.0</v>
      </c>
      <c r="D48" s="18">
        <v>37370.0</v>
      </c>
      <c r="E48" s="18">
        <v>10240.0</v>
      </c>
      <c r="F48" s="18">
        <v>7538.0</v>
      </c>
      <c r="G48" s="8">
        <v>0.2017</v>
      </c>
      <c r="H48" s="1">
        <v>169.0</v>
      </c>
      <c r="I48" s="8">
        <v>0.0224</v>
      </c>
      <c r="J48" s="3">
        <v>126.0</v>
      </c>
      <c r="K48" s="9">
        <v>0.0167</v>
      </c>
      <c r="L48" s="1">
        <v>170.0</v>
      </c>
      <c r="M48" s="8">
        <v>0.0045</v>
      </c>
      <c r="N48" s="1">
        <v>1.0</v>
      </c>
      <c r="O48" s="8">
        <v>0.05882</v>
      </c>
      <c r="P48" s="1">
        <v>85.0</v>
      </c>
      <c r="Q48" s="1">
        <v>3.0</v>
      </c>
      <c r="R48" s="8">
        <v>0.0353</v>
      </c>
      <c r="S48" s="1" t="s">
        <v>114</v>
      </c>
      <c r="T48" s="1" t="s">
        <v>23</v>
      </c>
      <c r="U48" s="11">
        <f t="shared" si="1"/>
        <v>95.17624287</v>
      </c>
      <c r="V48" s="12"/>
      <c r="W48" s="12"/>
      <c r="X48" s="12"/>
      <c r="Y48" s="6"/>
      <c r="Z48" s="5"/>
    </row>
    <row r="49">
      <c r="A49" s="14">
        <v>45869.0</v>
      </c>
      <c r="B49" s="1" t="s">
        <v>115</v>
      </c>
      <c r="C49" s="18">
        <v>39072.0</v>
      </c>
      <c r="D49" s="18">
        <v>36956.0</v>
      </c>
      <c r="E49" s="18">
        <v>25201.0</v>
      </c>
      <c r="F49" s="18">
        <v>20550.0</v>
      </c>
      <c r="G49" s="8">
        <v>0.5561</v>
      </c>
      <c r="H49" s="1">
        <v>152.0</v>
      </c>
      <c r="I49" s="8">
        <v>0.0074</v>
      </c>
      <c r="J49" s="3">
        <v>99.0</v>
      </c>
      <c r="K49" s="9">
        <v>0.0048</v>
      </c>
      <c r="L49" s="1">
        <v>125.0</v>
      </c>
      <c r="M49" s="8">
        <v>0.0034</v>
      </c>
      <c r="N49" s="1">
        <v>1.0</v>
      </c>
      <c r="O49" s="8">
        <v>0.06667</v>
      </c>
      <c r="P49" s="1">
        <v>46.0</v>
      </c>
      <c r="Q49" s="1">
        <v>0.0</v>
      </c>
      <c r="R49" s="8">
        <v>0.0</v>
      </c>
      <c r="S49" s="1" t="s">
        <v>116</v>
      </c>
      <c r="T49" s="1" t="s">
        <v>23</v>
      </c>
      <c r="U49" s="11">
        <f t="shared" si="1"/>
        <v>94.58435708</v>
      </c>
      <c r="V49" s="12"/>
      <c r="W49" s="12"/>
      <c r="X49" s="12"/>
      <c r="Y49" s="6"/>
      <c r="Z49" s="5"/>
    </row>
    <row r="50">
      <c r="A50" s="14">
        <v>45870.0</v>
      </c>
      <c r="B50" s="1" t="s">
        <v>117</v>
      </c>
      <c r="C50" s="18">
        <v>26235.0</v>
      </c>
      <c r="D50" s="18">
        <v>25423.0</v>
      </c>
      <c r="E50" s="18">
        <v>10093.0</v>
      </c>
      <c r="F50" s="18">
        <v>7367.0</v>
      </c>
      <c r="G50" s="8">
        <v>0.2898</v>
      </c>
      <c r="H50" s="1">
        <v>118.0</v>
      </c>
      <c r="I50" s="8">
        <v>0.016</v>
      </c>
      <c r="J50" s="3">
        <v>68.0</v>
      </c>
      <c r="K50" s="9">
        <v>0.0092</v>
      </c>
      <c r="L50" s="1">
        <v>104.0</v>
      </c>
      <c r="M50" s="8">
        <v>0.0041</v>
      </c>
      <c r="N50" s="1">
        <v>1.0</v>
      </c>
      <c r="O50" s="8">
        <v>0.07692</v>
      </c>
      <c r="P50" s="1">
        <v>57.0</v>
      </c>
      <c r="Q50" s="1">
        <v>2.0</v>
      </c>
      <c r="R50" s="8">
        <v>0.0351</v>
      </c>
      <c r="S50" s="1" t="s">
        <v>118</v>
      </c>
      <c r="T50" s="1" t="s">
        <v>23</v>
      </c>
      <c r="U50" s="11">
        <f t="shared" si="1"/>
        <v>96.90489804</v>
      </c>
      <c r="V50" s="12"/>
      <c r="W50" s="12"/>
      <c r="X50" s="12"/>
      <c r="Y50" s="6"/>
      <c r="Z50" s="5"/>
    </row>
    <row r="51">
      <c r="A51" s="14">
        <v>45873.0</v>
      </c>
      <c r="B51" s="1" t="s">
        <v>119</v>
      </c>
      <c r="C51" s="18">
        <v>33205.0</v>
      </c>
      <c r="D51" s="18">
        <v>32942.0</v>
      </c>
      <c r="E51" s="18">
        <v>26069.0</v>
      </c>
      <c r="F51" s="18">
        <v>21811.0</v>
      </c>
      <c r="G51" s="8">
        <v>0.6621</v>
      </c>
      <c r="H51" s="1">
        <v>173.0</v>
      </c>
      <c r="I51" s="8">
        <v>0.0079</v>
      </c>
      <c r="J51" s="3">
        <v>112.0</v>
      </c>
      <c r="K51" s="9">
        <v>0.0051</v>
      </c>
      <c r="L51" s="1">
        <v>177.0</v>
      </c>
      <c r="M51" s="8">
        <v>0.0054</v>
      </c>
      <c r="N51" s="1">
        <v>1.0</v>
      </c>
      <c r="O51" s="8">
        <v>0.08333</v>
      </c>
      <c r="P51" s="1">
        <v>65.0</v>
      </c>
      <c r="Q51" s="1">
        <v>1.0</v>
      </c>
      <c r="R51" s="8">
        <v>0.0154</v>
      </c>
      <c r="S51" s="1" t="s">
        <v>120</v>
      </c>
      <c r="T51" s="1" t="s">
        <v>23</v>
      </c>
      <c r="U51" s="11">
        <f t="shared" si="1"/>
        <v>99.20795061</v>
      </c>
      <c r="V51" s="12"/>
      <c r="W51" s="12"/>
      <c r="X51" s="12"/>
      <c r="Y51" s="6"/>
      <c r="Z51" s="5"/>
    </row>
    <row r="52">
      <c r="A52" s="14">
        <v>45874.0</v>
      </c>
      <c r="B52" s="1" t="s">
        <v>121</v>
      </c>
      <c r="C52" s="18">
        <v>33024.0</v>
      </c>
      <c r="D52" s="18">
        <v>32640.0</v>
      </c>
      <c r="E52" s="18">
        <v>12336.0</v>
      </c>
      <c r="F52" s="18">
        <v>9051.0</v>
      </c>
      <c r="G52" s="8">
        <v>0.2773</v>
      </c>
      <c r="H52" s="1">
        <v>146.0</v>
      </c>
      <c r="I52" s="8">
        <v>0.0161</v>
      </c>
      <c r="J52" s="3">
        <v>85.0</v>
      </c>
      <c r="K52" s="9">
        <v>0.0094</v>
      </c>
      <c r="L52" s="1">
        <v>156.0</v>
      </c>
      <c r="M52" s="8">
        <v>0.0048</v>
      </c>
      <c r="N52" s="1">
        <v>0.0</v>
      </c>
      <c r="O52" s="8">
        <v>0.0</v>
      </c>
      <c r="P52" s="1">
        <v>53.0</v>
      </c>
      <c r="Q52" s="1">
        <v>1.0</v>
      </c>
      <c r="R52" s="8">
        <v>0.0189</v>
      </c>
      <c r="S52" s="1" t="s">
        <v>122</v>
      </c>
      <c r="T52" s="1" t="s">
        <v>23</v>
      </c>
      <c r="U52" s="11">
        <f t="shared" si="1"/>
        <v>98.8372093</v>
      </c>
      <c r="V52" s="12"/>
      <c r="W52" s="12"/>
      <c r="X52" s="12"/>
      <c r="Y52" s="6"/>
      <c r="Z52" s="5"/>
    </row>
    <row r="53">
      <c r="A53" s="14">
        <v>45875.0</v>
      </c>
      <c r="B53" s="1" t="s">
        <v>123</v>
      </c>
      <c r="C53" s="18">
        <v>42868.0</v>
      </c>
      <c r="D53" s="18">
        <v>42349.0</v>
      </c>
      <c r="E53" s="18">
        <v>12903.0</v>
      </c>
      <c r="F53" s="18">
        <v>8839.0</v>
      </c>
      <c r="G53" s="8">
        <v>0.2087</v>
      </c>
      <c r="H53" s="1">
        <v>184.0</v>
      </c>
      <c r="I53" s="8">
        <v>0.0208</v>
      </c>
      <c r="J53" s="3">
        <v>130.0</v>
      </c>
      <c r="K53" s="9">
        <v>0.0147</v>
      </c>
      <c r="L53" s="1">
        <v>223.0</v>
      </c>
      <c r="M53" s="8">
        <v>0.0053</v>
      </c>
      <c r="N53" s="1">
        <v>5.0</v>
      </c>
      <c r="O53" s="8">
        <v>0.29412</v>
      </c>
      <c r="P53" s="1">
        <v>34.0</v>
      </c>
      <c r="Q53" s="1">
        <v>2.0</v>
      </c>
      <c r="R53" s="8">
        <v>0.0588</v>
      </c>
      <c r="S53" s="1" t="s">
        <v>124</v>
      </c>
      <c r="T53" s="1" t="s">
        <v>23</v>
      </c>
      <c r="U53" s="11">
        <f t="shared" si="1"/>
        <v>98.78930671</v>
      </c>
      <c r="V53" s="12"/>
      <c r="W53" s="12"/>
      <c r="X53" s="12"/>
      <c r="Y53" s="6"/>
      <c r="Z53" s="5"/>
    </row>
    <row r="54">
      <c r="A54" s="14">
        <v>45876.0</v>
      </c>
      <c r="B54" s="1" t="s">
        <v>125</v>
      </c>
      <c r="C54" s="18">
        <v>37834.0</v>
      </c>
      <c r="D54" s="18">
        <v>37382.0</v>
      </c>
      <c r="E54" s="18">
        <v>32174.0</v>
      </c>
      <c r="F54" s="18">
        <v>26629.0</v>
      </c>
      <c r="G54" s="8">
        <v>0.7123</v>
      </c>
      <c r="H54" s="1">
        <v>203.0</v>
      </c>
      <c r="I54" s="8">
        <v>0.0076</v>
      </c>
      <c r="J54" s="3">
        <v>136.0</v>
      </c>
      <c r="K54" s="9">
        <v>0.0051</v>
      </c>
      <c r="L54" s="1">
        <v>215.0</v>
      </c>
      <c r="M54" s="8">
        <v>0.0058</v>
      </c>
      <c r="N54" s="1">
        <v>1.0</v>
      </c>
      <c r="O54" s="8">
        <v>0.05882</v>
      </c>
      <c r="P54" s="1">
        <v>64.0</v>
      </c>
      <c r="Q54" s="1">
        <v>1.0</v>
      </c>
      <c r="R54" s="8">
        <v>0.0156</v>
      </c>
      <c r="S54" s="1" t="s">
        <v>126</v>
      </c>
      <c r="T54" s="1" t="s">
        <v>23</v>
      </c>
      <c r="U54" s="11">
        <f t="shared" si="1"/>
        <v>98.8053074</v>
      </c>
      <c r="V54" s="12"/>
      <c r="W54" s="12"/>
      <c r="X54" s="12"/>
      <c r="Y54" s="6"/>
      <c r="Z54" s="5"/>
    </row>
    <row r="55">
      <c r="A55" s="14">
        <v>45877.0</v>
      </c>
      <c r="B55" s="1" t="s">
        <v>127</v>
      </c>
      <c r="C55" s="18">
        <v>37627.0</v>
      </c>
      <c r="D55" s="18">
        <v>37147.0</v>
      </c>
      <c r="E55" s="18">
        <v>32602.0</v>
      </c>
      <c r="F55" s="18">
        <v>27533.0</v>
      </c>
      <c r="G55" s="8">
        <v>0.7412</v>
      </c>
      <c r="H55" s="1">
        <v>178.0</v>
      </c>
      <c r="I55" s="8">
        <v>0.0065</v>
      </c>
      <c r="J55" s="3">
        <v>104.0</v>
      </c>
      <c r="K55" s="9">
        <v>0.0038</v>
      </c>
      <c r="L55" s="1">
        <v>134.0</v>
      </c>
      <c r="M55" s="8">
        <v>0.0036</v>
      </c>
      <c r="N55" s="1">
        <v>0.0</v>
      </c>
      <c r="O55" s="8">
        <v>0.0</v>
      </c>
      <c r="P55" s="1">
        <v>30.0</v>
      </c>
      <c r="Q55" s="1">
        <v>1.0</v>
      </c>
      <c r="R55" s="8">
        <v>0.0333</v>
      </c>
      <c r="S55" s="1" t="s">
        <v>128</v>
      </c>
      <c r="T55" s="1" t="s">
        <v>23</v>
      </c>
      <c r="U55" s="11">
        <f t="shared" si="1"/>
        <v>98.7243203</v>
      </c>
      <c r="V55" s="12"/>
      <c r="W55" s="12"/>
      <c r="X55" s="12"/>
      <c r="Y55" s="6"/>
      <c r="Z55" s="5"/>
    </row>
    <row r="56">
      <c r="A56" s="14">
        <v>45880.0</v>
      </c>
      <c r="B56" s="1" t="s">
        <v>129</v>
      </c>
      <c r="C56" s="18">
        <v>47231.0</v>
      </c>
      <c r="D56" s="18">
        <v>46721.0</v>
      </c>
      <c r="E56" s="18">
        <v>39833.0</v>
      </c>
      <c r="F56" s="18">
        <v>32591.0</v>
      </c>
      <c r="G56" s="8">
        <v>0.6976</v>
      </c>
      <c r="H56" s="1">
        <v>305.0</v>
      </c>
      <c r="I56" s="8">
        <v>0.0094</v>
      </c>
      <c r="J56" s="3">
        <v>211.0</v>
      </c>
      <c r="K56" s="9">
        <v>0.0065</v>
      </c>
      <c r="L56" s="1">
        <v>421.0</v>
      </c>
      <c r="M56" s="8">
        <v>0.009</v>
      </c>
      <c r="N56" s="1">
        <v>2.0</v>
      </c>
      <c r="O56" s="8">
        <v>0.05</v>
      </c>
      <c r="P56" s="1">
        <v>34.0</v>
      </c>
      <c r="Q56" s="1">
        <v>1.0</v>
      </c>
      <c r="R56" s="8">
        <v>0.0294</v>
      </c>
      <c r="S56" s="1" t="s">
        <v>130</v>
      </c>
      <c r="T56" s="1" t="s">
        <v>23</v>
      </c>
      <c r="U56" s="11">
        <f t="shared" si="1"/>
        <v>98.92020072</v>
      </c>
      <c r="V56" s="12"/>
      <c r="W56" s="12"/>
      <c r="X56" s="12"/>
      <c r="Y56" s="6"/>
      <c r="Z56" s="5"/>
    </row>
    <row r="57">
      <c r="A57" s="14">
        <v>45881.0</v>
      </c>
      <c r="B57" s="1" t="s">
        <v>131</v>
      </c>
      <c r="C57" s="18">
        <v>46817.0</v>
      </c>
      <c r="D57" s="18">
        <v>46052.0</v>
      </c>
      <c r="E57" s="18">
        <v>39954.0</v>
      </c>
      <c r="F57" s="18">
        <v>33691.0</v>
      </c>
      <c r="G57" s="8">
        <v>0.7316</v>
      </c>
      <c r="H57" s="1">
        <v>230.0</v>
      </c>
      <c r="I57" s="8">
        <v>0.0068</v>
      </c>
      <c r="J57" s="3">
        <v>163.0</v>
      </c>
      <c r="K57" s="9">
        <v>0.0048</v>
      </c>
      <c r="L57" s="1">
        <v>242.0</v>
      </c>
      <c r="M57" s="8">
        <v>0.0053</v>
      </c>
      <c r="N57" s="1">
        <v>0.0</v>
      </c>
      <c r="O57" s="8">
        <v>0.0</v>
      </c>
      <c r="P57" s="1">
        <v>41.0</v>
      </c>
      <c r="Q57" s="1">
        <v>2.0</v>
      </c>
      <c r="R57" s="8">
        <v>0.0488</v>
      </c>
      <c r="S57" s="1" t="s">
        <v>132</v>
      </c>
      <c r="T57" s="1" t="s">
        <v>23</v>
      </c>
      <c r="U57" s="11">
        <f t="shared" si="1"/>
        <v>98.36597817</v>
      </c>
      <c r="V57" s="12"/>
      <c r="W57" s="12"/>
      <c r="X57" s="12"/>
      <c r="Y57" s="6"/>
      <c r="Z57" s="5"/>
    </row>
    <row r="58">
      <c r="A58" s="14">
        <v>45882.0</v>
      </c>
      <c r="B58" s="1" t="s">
        <v>133</v>
      </c>
      <c r="C58" s="18">
        <v>46484.0</v>
      </c>
      <c r="D58" s="18">
        <v>45707.0</v>
      </c>
      <c r="E58" s="18">
        <v>39263.0</v>
      </c>
      <c r="F58" s="18">
        <v>33033.0</v>
      </c>
      <c r="G58" s="8">
        <v>0.7227</v>
      </c>
      <c r="H58" s="1">
        <v>283.0</v>
      </c>
      <c r="I58" s="8">
        <v>0.0086</v>
      </c>
      <c r="J58" s="3">
        <v>182.0</v>
      </c>
      <c r="K58" s="9">
        <v>0.0055</v>
      </c>
      <c r="L58" s="1">
        <v>210.0</v>
      </c>
      <c r="M58" s="8">
        <v>0.0046</v>
      </c>
      <c r="N58" s="1">
        <v>1.0</v>
      </c>
      <c r="O58" s="8">
        <v>0.02564</v>
      </c>
      <c r="P58" s="1">
        <v>69.0</v>
      </c>
      <c r="Q58" s="1">
        <v>3.0</v>
      </c>
      <c r="R58" s="8">
        <v>0.0435</v>
      </c>
      <c r="S58" s="1" t="s">
        <v>134</v>
      </c>
      <c r="T58" s="1" t="s">
        <v>23</v>
      </c>
      <c r="U58" s="11">
        <f t="shared" si="1"/>
        <v>98.3284571</v>
      </c>
      <c r="V58" s="12"/>
      <c r="W58" s="12"/>
      <c r="X58" s="12"/>
      <c r="Y58" s="6"/>
      <c r="Z58" s="5"/>
    </row>
    <row r="59">
      <c r="A59" s="14">
        <v>45883.0</v>
      </c>
      <c r="B59" s="1" t="s">
        <v>135</v>
      </c>
      <c r="C59" s="18">
        <v>55560.0</v>
      </c>
      <c r="D59" s="18">
        <v>54692.0</v>
      </c>
      <c r="E59" s="18">
        <v>42720.0</v>
      </c>
      <c r="F59" s="18">
        <v>35230.0</v>
      </c>
      <c r="G59" s="8">
        <v>0.6442</v>
      </c>
      <c r="H59" s="1">
        <v>291.0</v>
      </c>
      <c r="I59" s="8">
        <v>0.0083</v>
      </c>
      <c r="J59" s="3">
        <v>209.0</v>
      </c>
      <c r="K59" s="9">
        <v>0.0059</v>
      </c>
      <c r="L59" s="1">
        <v>297.0</v>
      </c>
      <c r="M59" s="8">
        <v>0.0054</v>
      </c>
      <c r="N59" s="1">
        <v>2.0</v>
      </c>
      <c r="O59" s="8">
        <v>0.04255</v>
      </c>
      <c r="P59" s="1">
        <v>55.0</v>
      </c>
      <c r="Q59" s="1">
        <v>5.0</v>
      </c>
      <c r="R59" s="8">
        <v>0.0909</v>
      </c>
      <c r="S59" s="1" t="s">
        <v>136</v>
      </c>
      <c r="T59" s="1" t="s">
        <v>23</v>
      </c>
      <c r="U59" s="11">
        <f t="shared" si="1"/>
        <v>98.43772498</v>
      </c>
      <c r="V59" s="12"/>
      <c r="W59" s="12"/>
      <c r="X59" s="12"/>
      <c r="Y59" s="6"/>
      <c r="Z59" s="5"/>
    </row>
    <row r="60">
      <c r="A60" s="14">
        <v>45884.0</v>
      </c>
      <c r="B60" s="1" t="s">
        <v>137</v>
      </c>
      <c r="C60" s="18">
        <v>53756.0</v>
      </c>
      <c r="D60" s="18">
        <v>53326.0</v>
      </c>
      <c r="E60" s="18">
        <v>47302.0</v>
      </c>
      <c r="F60" s="18">
        <v>39116.0</v>
      </c>
      <c r="G60" s="8">
        <v>0.7335</v>
      </c>
      <c r="H60" s="1">
        <v>304.0</v>
      </c>
      <c r="I60" s="8">
        <v>0.0078</v>
      </c>
      <c r="J60" s="3">
        <v>187.0</v>
      </c>
      <c r="K60" s="9">
        <v>0.0048</v>
      </c>
      <c r="L60" s="1">
        <v>310.0</v>
      </c>
      <c r="M60" s="8">
        <v>0.0058</v>
      </c>
      <c r="N60" s="1">
        <v>0.0</v>
      </c>
      <c r="O60" s="8">
        <v>0.0</v>
      </c>
      <c r="P60" s="1">
        <v>33.0</v>
      </c>
      <c r="Q60" s="1">
        <v>1.0</v>
      </c>
      <c r="R60" s="8">
        <v>0.0303</v>
      </c>
      <c r="S60" s="1" t="s">
        <v>138</v>
      </c>
      <c r="T60" s="1" t="s">
        <v>23</v>
      </c>
      <c r="U60" s="11">
        <f t="shared" si="1"/>
        <v>99.20008929</v>
      </c>
      <c r="V60" s="12"/>
      <c r="W60" s="12"/>
      <c r="X60" s="12"/>
      <c r="Y60" s="6"/>
      <c r="Z60" s="5"/>
    </row>
    <row r="61">
      <c r="A61" s="14">
        <v>45887.0</v>
      </c>
      <c r="B61" s="1" t="s">
        <v>139</v>
      </c>
      <c r="C61" s="18">
        <v>68055.0</v>
      </c>
      <c r="D61" s="18">
        <v>67510.0</v>
      </c>
      <c r="E61" s="18">
        <v>58301.0</v>
      </c>
      <c r="F61" s="18">
        <v>47606.0</v>
      </c>
      <c r="G61" s="8">
        <v>0.7052</v>
      </c>
      <c r="H61" s="1">
        <v>520.0</v>
      </c>
      <c r="I61" s="8">
        <v>0.0109</v>
      </c>
      <c r="J61" s="3">
        <v>394.0</v>
      </c>
      <c r="K61" s="9">
        <v>0.0083</v>
      </c>
      <c r="L61" s="1">
        <v>635.0</v>
      </c>
      <c r="M61" s="8">
        <v>0.0094</v>
      </c>
      <c r="N61" s="1">
        <v>0.0</v>
      </c>
      <c r="O61" s="8">
        <v>0.0</v>
      </c>
      <c r="P61" s="1">
        <v>87.0</v>
      </c>
      <c r="Q61" s="1">
        <v>3.0</v>
      </c>
      <c r="R61" s="8">
        <v>0.0345</v>
      </c>
      <c r="S61" s="1" t="s">
        <v>140</v>
      </c>
      <c r="T61" s="1" t="s">
        <v>23</v>
      </c>
      <c r="U61" s="11">
        <f t="shared" si="1"/>
        <v>99.19917714</v>
      </c>
      <c r="V61" s="12"/>
      <c r="W61" s="12"/>
      <c r="X61" s="12"/>
      <c r="Y61" s="6"/>
      <c r="Z61" s="5"/>
    </row>
    <row r="62">
      <c r="A62" s="14">
        <v>45888.0</v>
      </c>
      <c r="B62" s="1" t="s">
        <v>141</v>
      </c>
      <c r="C62" s="18">
        <v>63069.0</v>
      </c>
      <c r="D62" s="18">
        <v>62515.0</v>
      </c>
      <c r="E62" s="18">
        <v>56599.0</v>
      </c>
      <c r="F62" s="18">
        <v>47215.0</v>
      </c>
      <c r="G62" s="8">
        <v>0.7553</v>
      </c>
      <c r="H62" s="1">
        <v>353.0</v>
      </c>
      <c r="I62" s="8">
        <v>0.0075</v>
      </c>
      <c r="J62" s="3">
        <v>245.0</v>
      </c>
      <c r="K62" s="9">
        <v>0.0052</v>
      </c>
      <c r="L62" s="1">
        <v>296.0</v>
      </c>
      <c r="M62" s="8">
        <v>0.0047</v>
      </c>
      <c r="N62" s="1">
        <v>0.0</v>
      </c>
      <c r="O62" s="8">
        <v>0.0</v>
      </c>
      <c r="P62" s="1">
        <v>73.0</v>
      </c>
      <c r="Q62" s="1">
        <v>4.0</v>
      </c>
      <c r="R62" s="8">
        <v>0.0548</v>
      </c>
      <c r="S62" s="1" t="s">
        <v>142</v>
      </c>
      <c r="T62" s="1" t="s">
        <v>23</v>
      </c>
      <c r="U62" s="11">
        <f t="shared" si="1"/>
        <v>99.12159698</v>
      </c>
      <c r="V62" s="12"/>
      <c r="W62" s="12"/>
      <c r="X62" s="12"/>
      <c r="Y62" s="6"/>
      <c r="Z62" s="5"/>
    </row>
    <row r="63">
      <c r="A63" s="14">
        <v>45889.0</v>
      </c>
      <c r="B63" s="1" t="s">
        <v>143</v>
      </c>
      <c r="C63" s="18">
        <v>70763.0</v>
      </c>
      <c r="D63" s="18">
        <v>70112.0</v>
      </c>
      <c r="E63" s="18">
        <v>27314.0</v>
      </c>
      <c r="F63" s="18">
        <v>19560.0</v>
      </c>
      <c r="G63" s="8">
        <v>0.279</v>
      </c>
      <c r="H63" s="1">
        <v>412.0</v>
      </c>
      <c r="I63" s="8">
        <v>0.0211</v>
      </c>
      <c r="J63" s="3">
        <v>305.0</v>
      </c>
      <c r="K63" s="9">
        <v>0.0156</v>
      </c>
      <c r="L63" s="1">
        <v>385.0</v>
      </c>
      <c r="M63" s="8">
        <v>0.0055</v>
      </c>
      <c r="N63" s="1">
        <v>0.0</v>
      </c>
      <c r="O63" s="8">
        <v>0.0</v>
      </c>
      <c r="P63" s="1">
        <v>100.0</v>
      </c>
      <c r="Q63" s="1">
        <v>7.0</v>
      </c>
      <c r="R63" s="8">
        <v>0.07</v>
      </c>
      <c r="S63" s="1" t="s">
        <v>144</v>
      </c>
      <c r="T63" s="1" t="s">
        <v>23</v>
      </c>
      <c r="U63" s="11">
        <f t="shared" si="1"/>
        <v>99.0800277</v>
      </c>
      <c r="V63" s="12"/>
      <c r="W63" s="12"/>
      <c r="X63" s="12"/>
      <c r="Y63" s="6"/>
      <c r="Z63" s="5"/>
    </row>
    <row r="64">
      <c r="A64" s="14">
        <v>45890.0</v>
      </c>
      <c r="B64" s="1" t="s">
        <v>145</v>
      </c>
      <c r="C64" s="18">
        <v>61688.0</v>
      </c>
      <c r="D64" s="18">
        <v>61179.0</v>
      </c>
      <c r="E64" s="18">
        <v>56148.0</v>
      </c>
      <c r="F64" s="18">
        <v>43070.0</v>
      </c>
      <c r="G64" s="8">
        <v>0.704</v>
      </c>
      <c r="H64" s="1">
        <v>791.0</v>
      </c>
      <c r="I64" s="8">
        <v>0.0184</v>
      </c>
      <c r="J64" s="3">
        <v>602.0</v>
      </c>
      <c r="K64" s="9">
        <v>0.014</v>
      </c>
      <c r="L64" s="1">
        <v>670.0</v>
      </c>
      <c r="M64" s="8">
        <v>0.011</v>
      </c>
      <c r="N64" s="1">
        <v>1.0</v>
      </c>
      <c r="O64" s="8">
        <v>0.03333</v>
      </c>
      <c r="P64" s="1">
        <v>103.0</v>
      </c>
      <c r="Q64" s="1">
        <v>1.0</v>
      </c>
      <c r="R64" s="8">
        <v>0.0097</v>
      </c>
      <c r="S64" s="1" t="s">
        <v>146</v>
      </c>
      <c r="T64" s="1" t="s">
        <v>23</v>
      </c>
      <c r="U64" s="11">
        <f t="shared" si="1"/>
        <v>99.17488004</v>
      </c>
      <c r="V64" s="12"/>
      <c r="W64" s="12"/>
      <c r="X64" s="12"/>
      <c r="Y64" s="6"/>
      <c r="Z64" s="5"/>
    </row>
    <row r="65">
      <c r="A65" s="14">
        <v>45891.0</v>
      </c>
      <c r="B65" s="1" t="s">
        <v>147</v>
      </c>
      <c r="C65" s="18">
        <v>60925.0</v>
      </c>
      <c r="D65" s="18">
        <v>60407.0</v>
      </c>
      <c r="E65" s="18">
        <v>44090.0</v>
      </c>
      <c r="F65" s="18">
        <v>34778.0</v>
      </c>
      <c r="G65" s="8">
        <v>0.5757</v>
      </c>
      <c r="H65" s="1">
        <v>405.0</v>
      </c>
      <c r="I65" s="8">
        <v>0.0116</v>
      </c>
      <c r="J65" s="3">
        <v>264.0</v>
      </c>
      <c r="K65" s="9">
        <v>0.0076</v>
      </c>
      <c r="L65" s="1">
        <v>277.0</v>
      </c>
      <c r="M65" s="8">
        <v>0.0046</v>
      </c>
      <c r="N65" s="1">
        <v>2.0</v>
      </c>
      <c r="O65" s="8">
        <v>0.06452</v>
      </c>
      <c r="P65" s="1">
        <v>73.0</v>
      </c>
      <c r="Q65" s="1">
        <v>1.0</v>
      </c>
      <c r="R65" s="8">
        <v>0.0137</v>
      </c>
      <c r="S65" s="1" t="s">
        <v>148</v>
      </c>
      <c r="T65" s="1" t="s">
        <v>23</v>
      </c>
      <c r="U65" s="11">
        <f t="shared" si="1"/>
        <v>99.14977431</v>
      </c>
      <c r="V65" s="12"/>
      <c r="W65" s="12"/>
      <c r="X65" s="12"/>
      <c r="Y65" s="6"/>
      <c r="Z65" s="5"/>
    </row>
    <row r="66">
      <c r="A66" s="14">
        <v>45894.0</v>
      </c>
      <c r="B66" s="1" t="s">
        <v>149</v>
      </c>
      <c r="C66" s="18">
        <v>85551.0</v>
      </c>
      <c r="D66" s="18">
        <v>85058.0</v>
      </c>
      <c r="E66" s="18">
        <v>115997.0</v>
      </c>
      <c r="F66" s="18">
        <v>66078.0</v>
      </c>
      <c r="G66" s="8">
        <v>0.7769</v>
      </c>
      <c r="H66" s="18">
        <v>1039.0</v>
      </c>
      <c r="I66" s="8">
        <v>0.0157</v>
      </c>
      <c r="J66" s="3">
        <v>624.0</v>
      </c>
      <c r="K66" s="9">
        <v>0.0094</v>
      </c>
      <c r="L66" s="1">
        <v>833.0</v>
      </c>
      <c r="M66" s="8">
        <v>0.0098</v>
      </c>
      <c r="N66" s="1">
        <v>2.0</v>
      </c>
      <c r="O66" s="8">
        <v>0.05128</v>
      </c>
      <c r="P66" s="1">
        <v>243.0</v>
      </c>
      <c r="Q66" s="1">
        <v>2.0</v>
      </c>
      <c r="R66" s="8">
        <v>0.0082</v>
      </c>
      <c r="S66" s="1" t="s">
        <v>150</v>
      </c>
      <c r="T66" s="1" t="s">
        <v>23</v>
      </c>
      <c r="U66" s="11">
        <f t="shared" si="1"/>
        <v>99.42373555</v>
      </c>
      <c r="V66" s="12"/>
      <c r="W66" s="12"/>
      <c r="X66" s="12"/>
      <c r="Y66" s="6"/>
      <c r="Z66" s="5"/>
    </row>
    <row r="67">
      <c r="A67" s="14">
        <v>45895.0</v>
      </c>
      <c r="B67" s="1" t="s">
        <v>151</v>
      </c>
      <c r="C67" s="18">
        <v>84724.0</v>
      </c>
      <c r="D67" s="18">
        <v>84069.0</v>
      </c>
      <c r="E67" s="18">
        <v>85523.0</v>
      </c>
      <c r="F67" s="18">
        <v>65147.0</v>
      </c>
      <c r="G67" s="8">
        <v>0.7749</v>
      </c>
      <c r="H67" s="1">
        <v>774.0</v>
      </c>
      <c r="I67" s="8">
        <v>0.0119</v>
      </c>
      <c r="J67" s="3">
        <v>592.0</v>
      </c>
      <c r="K67" s="9">
        <v>0.0091</v>
      </c>
      <c r="L67" s="1">
        <v>774.0</v>
      </c>
      <c r="M67" s="8">
        <v>0.0092</v>
      </c>
      <c r="N67" s="1">
        <v>2.0</v>
      </c>
      <c r="O67" s="8">
        <v>0.05</v>
      </c>
      <c r="P67" s="1">
        <v>92.0</v>
      </c>
      <c r="Q67" s="1">
        <v>5.0</v>
      </c>
      <c r="R67" s="8">
        <v>0.0543</v>
      </c>
      <c r="S67" s="1" t="s">
        <v>152</v>
      </c>
      <c r="T67" s="1" t="s">
        <v>23</v>
      </c>
      <c r="U67" s="11">
        <f t="shared" si="1"/>
        <v>99.22690147</v>
      </c>
      <c r="V67" s="12"/>
      <c r="W67" s="12"/>
      <c r="X67" s="12"/>
      <c r="Y67" s="6"/>
      <c r="Z67" s="5"/>
    </row>
    <row r="68">
      <c r="A68" s="14">
        <v>45896.0</v>
      </c>
      <c r="B68" s="1" t="s">
        <v>153</v>
      </c>
      <c r="C68" s="18">
        <v>98699.0</v>
      </c>
      <c r="D68" s="18">
        <v>97926.0</v>
      </c>
      <c r="E68" s="18">
        <v>79513.0</v>
      </c>
      <c r="F68" s="18">
        <v>61398.0</v>
      </c>
      <c r="G68" s="8">
        <v>0.627</v>
      </c>
      <c r="H68" s="1">
        <v>927.0</v>
      </c>
      <c r="I68" s="8">
        <v>0.0151</v>
      </c>
      <c r="J68" s="3">
        <v>641.0</v>
      </c>
      <c r="K68" s="9">
        <v>0.0104</v>
      </c>
      <c r="L68" s="1">
        <v>901.0</v>
      </c>
      <c r="M68" s="8">
        <v>0.0092</v>
      </c>
      <c r="N68" s="1">
        <v>0.0</v>
      </c>
      <c r="O68" s="8">
        <v>0.0</v>
      </c>
      <c r="P68" s="1">
        <v>152.0</v>
      </c>
      <c r="Q68" s="1">
        <v>6.0</v>
      </c>
      <c r="R68" s="8">
        <v>0.0395</v>
      </c>
      <c r="S68" s="1" t="s">
        <v>154</v>
      </c>
      <c r="T68" s="1" t="s">
        <v>23</v>
      </c>
      <c r="U68" s="11">
        <f t="shared" si="1"/>
        <v>99.21681071</v>
      </c>
      <c r="V68" s="12"/>
      <c r="W68" s="12"/>
      <c r="X68" s="12"/>
      <c r="Y68" s="6"/>
      <c r="Z68" s="5"/>
    </row>
    <row r="69">
      <c r="A69" s="14">
        <v>45897.0</v>
      </c>
      <c r="B69" s="1" t="s">
        <v>155</v>
      </c>
      <c r="C69" s="18">
        <v>85464.0</v>
      </c>
      <c r="D69" s="18">
        <v>84558.0</v>
      </c>
      <c r="E69" s="18">
        <v>62617.0</v>
      </c>
      <c r="F69" s="18">
        <v>47918.0</v>
      </c>
      <c r="G69" s="8">
        <v>0.5667</v>
      </c>
      <c r="H69" s="1">
        <v>760.0</v>
      </c>
      <c r="I69" s="8">
        <v>0.0159</v>
      </c>
      <c r="J69" s="3">
        <v>415.0</v>
      </c>
      <c r="K69" s="9">
        <v>0.0087</v>
      </c>
      <c r="L69" s="1">
        <v>542.0</v>
      </c>
      <c r="M69" s="8">
        <v>0.0064</v>
      </c>
      <c r="N69" s="1">
        <v>0.0</v>
      </c>
      <c r="O69" s="8">
        <v>0.0</v>
      </c>
      <c r="P69" s="1">
        <v>189.0</v>
      </c>
      <c r="Q69" s="1">
        <v>2.0</v>
      </c>
      <c r="R69" s="8">
        <v>0.0106</v>
      </c>
      <c r="S69" s="1" t="s">
        <v>156</v>
      </c>
      <c r="T69" s="1" t="s">
        <v>23</v>
      </c>
      <c r="U69" s="11">
        <f t="shared" si="1"/>
        <v>98.93990452</v>
      </c>
      <c r="V69" s="12"/>
      <c r="W69" s="12"/>
      <c r="X69" s="12"/>
      <c r="Y69" s="6"/>
      <c r="Z69" s="5"/>
    </row>
    <row r="70">
      <c r="A70" s="14">
        <v>45898.0</v>
      </c>
      <c r="B70" s="1" t="s">
        <v>157</v>
      </c>
      <c r="C70" s="18">
        <v>84862.0</v>
      </c>
      <c r="D70" s="18">
        <v>84190.0</v>
      </c>
      <c r="E70" s="18">
        <v>79457.0</v>
      </c>
      <c r="F70" s="18">
        <v>63220.0</v>
      </c>
      <c r="G70" s="8">
        <v>0.7509</v>
      </c>
      <c r="H70" s="1">
        <v>593.0</v>
      </c>
      <c r="I70" s="8">
        <v>0.0094</v>
      </c>
      <c r="J70" s="3">
        <v>378.0</v>
      </c>
      <c r="K70" s="9">
        <v>0.006</v>
      </c>
      <c r="L70" s="1">
        <v>453.0</v>
      </c>
      <c r="M70" s="8">
        <v>0.0054</v>
      </c>
      <c r="N70" s="1">
        <v>1.0</v>
      </c>
      <c r="O70" s="8">
        <v>0.02222</v>
      </c>
      <c r="P70" s="1">
        <v>115.0</v>
      </c>
      <c r="Q70" s="1">
        <v>1.0</v>
      </c>
      <c r="R70" s="8">
        <v>0.0087</v>
      </c>
      <c r="S70" s="1" t="s">
        <v>158</v>
      </c>
      <c r="T70" s="1" t="s">
        <v>23</v>
      </c>
      <c r="U70" s="11">
        <f t="shared" si="1"/>
        <v>99.20812613</v>
      </c>
      <c r="V70" s="12"/>
      <c r="W70" s="12"/>
      <c r="X70" s="12"/>
      <c r="Y70" s="6"/>
      <c r="Z70" s="5"/>
    </row>
    <row r="71">
      <c r="A71" s="14">
        <v>45901.0</v>
      </c>
      <c r="B71" s="1" t="s">
        <v>159</v>
      </c>
      <c r="C71" s="18">
        <v>92193.0</v>
      </c>
      <c r="D71" s="18">
        <v>91553.0</v>
      </c>
      <c r="E71" s="18">
        <v>83819.0</v>
      </c>
      <c r="F71" s="18">
        <v>66872.0</v>
      </c>
      <c r="G71" s="8">
        <v>0.7304</v>
      </c>
      <c r="H71" s="1">
        <v>661.0</v>
      </c>
      <c r="I71" s="8">
        <v>0.0099</v>
      </c>
      <c r="J71" s="3">
        <v>432.0</v>
      </c>
      <c r="K71" s="9">
        <v>0.0065</v>
      </c>
      <c r="L71" s="1">
        <v>673.0</v>
      </c>
      <c r="M71" s="8">
        <v>0.0074</v>
      </c>
      <c r="N71" s="1">
        <v>3.0</v>
      </c>
      <c r="O71" s="8">
        <v>0.06818</v>
      </c>
      <c r="P71" s="1">
        <v>104.0</v>
      </c>
      <c r="Q71" s="1">
        <v>0.0</v>
      </c>
      <c r="R71" s="8">
        <v>0.0</v>
      </c>
      <c r="S71" s="1" t="s">
        <v>160</v>
      </c>
      <c r="T71" s="1" t="s">
        <v>23</v>
      </c>
      <c r="U71" s="11">
        <f t="shared" si="1"/>
        <v>99.30580413</v>
      </c>
      <c r="V71" s="12"/>
      <c r="W71" s="12"/>
      <c r="X71" s="12"/>
      <c r="Y71" s="6"/>
      <c r="Z71" s="5"/>
    </row>
    <row r="72">
      <c r="A72" s="14">
        <v>45902.0</v>
      </c>
      <c r="B72" s="1" t="s">
        <v>161</v>
      </c>
      <c r="C72" s="18">
        <v>91654.0</v>
      </c>
      <c r="D72" s="18">
        <v>90898.0</v>
      </c>
      <c r="E72" s="18">
        <v>69213.0</v>
      </c>
      <c r="F72" s="18">
        <v>53511.0</v>
      </c>
      <c r="G72" s="8">
        <v>0.5887</v>
      </c>
      <c r="H72" s="1">
        <v>745.0</v>
      </c>
      <c r="I72" s="8">
        <v>0.0139</v>
      </c>
      <c r="J72" s="3">
        <v>495.0</v>
      </c>
      <c r="K72" s="9">
        <v>0.0093</v>
      </c>
      <c r="L72" s="1">
        <v>703.0</v>
      </c>
      <c r="M72" s="8">
        <v>0.0077</v>
      </c>
      <c r="N72" s="1">
        <v>0.0</v>
      </c>
      <c r="O72" s="8">
        <v>0.0</v>
      </c>
      <c r="P72" s="1">
        <v>97.0</v>
      </c>
      <c r="Q72" s="1">
        <v>4.0</v>
      </c>
      <c r="R72" s="8">
        <v>0.0412</v>
      </c>
      <c r="S72" s="1" t="s">
        <v>162</v>
      </c>
      <c r="T72" s="1" t="s">
        <v>23</v>
      </c>
      <c r="U72" s="11">
        <f t="shared" si="1"/>
        <v>99.17515875</v>
      </c>
      <c r="V72" s="12"/>
      <c r="W72" s="12"/>
      <c r="X72" s="12"/>
      <c r="Y72" s="6"/>
      <c r="Z72" s="5"/>
    </row>
    <row r="73">
      <c r="A73" s="14">
        <v>45903.0</v>
      </c>
      <c r="B73" s="1" t="s">
        <v>163</v>
      </c>
      <c r="C73" s="18">
        <v>105376.0</v>
      </c>
      <c r="D73" s="18">
        <v>104460.0</v>
      </c>
      <c r="E73" s="18">
        <v>98426.0</v>
      </c>
      <c r="F73" s="18">
        <v>76000.0</v>
      </c>
      <c r="G73" s="8">
        <v>0.7276</v>
      </c>
      <c r="H73" s="1">
        <v>965.0</v>
      </c>
      <c r="I73" s="8">
        <v>0.0127</v>
      </c>
      <c r="J73" s="3">
        <v>680.0</v>
      </c>
      <c r="K73" s="9">
        <v>0.0089</v>
      </c>
      <c r="L73" s="1">
        <v>973.0</v>
      </c>
      <c r="M73" s="8">
        <v>0.0093</v>
      </c>
      <c r="N73" s="1">
        <v>5.0</v>
      </c>
      <c r="O73" s="8">
        <v>0.10638</v>
      </c>
      <c r="P73" s="1">
        <v>231.0</v>
      </c>
      <c r="Q73" s="1">
        <v>3.0</v>
      </c>
      <c r="R73" s="8">
        <v>0.013</v>
      </c>
      <c r="S73" s="1" t="s">
        <v>164</v>
      </c>
      <c r="T73" s="1" t="s">
        <v>23</v>
      </c>
      <c r="U73" s="11">
        <f t="shared" si="1"/>
        <v>99.13073186</v>
      </c>
      <c r="V73" s="12"/>
      <c r="W73" s="12"/>
      <c r="X73" s="12"/>
      <c r="Y73" s="6"/>
      <c r="Z73" s="5"/>
    </row>
    <row r="74">
      <c r="A74" s="14">
        <v>45904.0</v>
      </c>
      <c r="B74" s="1" t="s">
        <v>165</v>
      </c>
      <c r="C74" s="18">
        <v>98379.0</v>
      </c>
      <c r="D74" s="18">
        <v>97522.0</v>
      </c>
      <c r="E74" s="18">
        <v>98931.0</v>
      </c>
      <c r="F74" s="18">
        <v>79829.0</v>
      </c>
      <c r="G74" s="8">
        <v>0.8186</v>
      </c>
      <c r="H74" s="1">
        <v>816.0</v>
      </c>
      <c r="I74" s="8">
        <v>0.0102</v>
      </c>
      <c r="J74" s="3">
        <v>465.0</v>
      </c>
      <c r="K74" s="9">
        <v>0.0058</v>
      </c>
      <c r="L74" s="1">
        <v>620.0</v>
      </c>
      <c r="M74" s="8">
        <v>0.0064</v>
      </c>
      <c r="N74" s="1">
        <v>0.0</v>
      </c>
      <c r="O74" s="8">
        <v>0.0</v>
      </c>
      <c r="P74" s="1">
        <v>66.0</v>
      </c>
      <c r="Q74" s="1">
        <v>0.0</v>
      </c>
      <c r="R74" s="8">
        <v>0.0</v>
      </c>
      <c r="S74" s="1" t="s">
        <v>166</v>
      </c>
      <c r="T74" s="1" t="s">
        <v>23</v>
      </c>
      <c r="U74" s="11">
        <f t="shared" si="1"/>
        <v>99.12887913</v>
      </c>
      <c r="V74" s="12"/>
      <c r="W74" s="12"/>
      <c r="X74" s="12"/>
      <c r="Y74" s="6"/>
      <c r="Z74" s="5"/>
    </row>
    <row r="75">
      <c r="A75" s="14">
        <v>45905.0</v>
      </c>
      <c r="B75" s="1" t="s">
        <v>167</v>
      </c>
      <c r="C75" s="18">
        <v>111109.0</v>
      </c>
      <c r="D75" s="18">
        <v>110105.0</v>
      </c>
      <c r="E75" s="18">
        <v>64652.0</v>
      </c>
      <c r="F75" s="18">
        <v>44373.0</v>
      </c>
      <c r="G75" s="8">
        <v>0.403</v>
      </c>
      <c r="H75" s="1">
        <v>848.0</v>
      </c>
      <c r="I75" s="8">
        <v>0.0191</v>
      </c>
      <c r="J75" s="3">
        <v>566.0</v>
      </c>
      <c r="K75" s="9">
        <v>0.0128</v>
      </c>
      <c r="L75" s="1">
        <v>746.0</v>
      </c>
      <c r="M75" s="8">
        <v>0.0068</v>
      </c>
      <c r="N75" s="1">
        <v>1.0</v>
      </c>
      <c r="O75" s="8">
        <v>0.01961</v>
      </c>
      <c r="P75" s="1">
        <v>56.0</v>
      </c>
      <c r="Q75" s="1">
        <v>3.0</v>
      </c>
      <c r="R75" s="8">
        <v>0.0536</v>
      </c>
      <c r="S75" s="1" t="s">
        <v>168</v>
      </c>
      <c r="T75" s="1" t="s">
        <v>23</v>
      </c>
      <c r="U75" s="11">
        <f t="shared" si="1"/>
        <v>99.09638283</v>
      </c>
      <c r="V75" s="12"/>
      <c r="W75" s="12"/>
      <c r="X75" s="12"/>
      <c r="Y75" s="6"/>
      <c r="Z75" s="5"/>
    </row>
    <row r="76">
      <c r="A76" s="14">
        <v>45908.0</v>
      </c>
      <c r="B76" s="1" t="s">
        <v>169</v>
      </c>
      <c r="C76" s="18">
        <v>104929.0</v>
      </c>
      <c r="D76" s="18">
        <v>103967.0</v>
      </c>
      <c r="E76" s="18">
        <v>101318.0</v>
      </c>
      <c r="F76" s="18">
        <v>78654.0</v>
      </c>
      <c r="G76" s="8">
        <v>0.7565</v>
      </c>
      <c r="H76" s="18">
        <v>1298.0</v>
      </c>
      <c r="I76" s="8">
        <v>0.0165</v>
      </c>
      <c r="J76" s="3">
        <v>802.0</v>
      </c>
      <c r="K76" s="9">
        <v>0.0102</v>
      </c>
      <c r="L76" s="1">
        <v>893.0</v>
      </c>
      <c r="M76" s="8">
        <v>0.0086</v>
      </c>
      <c r="N76" s="1">
        <v>0.0</v>
      </c>
      <c r="O76" s="8">
        <v>0.0</v>
      </c>
      <c r="P76" s="1">
        <v>265.0</v>
      </c>
      <c r="Q76" s="1">
        <v>6.0</v>
      </c>
      <c r="R76" s="8">
        <v>0.0226</v>
      </c>
      <c r="S76" s="1" t="s">
        <v>170</v>
      </c>
      <c r="T76" s="1" t="s">
        <v>23</v>
      </c>
      <c r="U76" s="11">
        <f t="shared" si="1"/>
        <v>99.08318959</v>
      </c>
      <c r="V76" s="12"/>
      <c r="W76" s="12"/>
      <c r="X76" s="12"/>
      <c r="Y76" s="6"/>
      <c r="Z76" s="5"/>
    </row>
    <row r="77">
      <c r="A77" s="14">
        <v>45909.0</v>
      </c>
      <c r="B77" s="1" t="s">
        <v>171</v>
      </c>
      <c r="C77" s="18">
        <v>103911.0</v>
      </c>
      <c r="D77" s="18">
        <v>102899.0</v>
      </c>
      <c r="E77" s="18">
        <v>88707.0</v>
      </c>
      <c r="F77" s="18">
        <v>68492.0</v>
      </c>
      <c r="G77" s="8">
        <v>0.6656</v>
      </c>
      <c r="H77" s="1">
        <v>907.0</v>
      </c>
      <c r="I77" s="8">
        <v>0.0132</v>
      </c>
      <c r="J77" s="3">
        <v>523.0</v>
      </c>
      <c r="K77" s="9">
        <v>0.0076</v>
      </c>
      <c r="L77" s="1">
        <v>501.0</v>
      </c>
      <c r="M77" s="8">
        <v>0.0049</v>
      </c>
      <c r="N77" s="1">
        <v>0.0</v>
      </c>
      <c r="O77" s="8">
        <v>0.0</v>
      </c>
      <c r="P77" s="1">
        <v>124.0</v>
      </c>
      <c r="Q77" s="1">
        <v>4.0</v>
      </c>
      <c r="R77" s="8">
        <v>0.0323</v>
      </c>
      <c r="S77" s="1" t="s">
        <v>172</v>
      </c>
      <c r="T77" s="1" t="s">
        <v>23</v>
      </c>
      <c r="U77" s="11">
        <f t="shared" si="1"/>
        <v>99.02608963</v>
      </c>
      <c r="V77" s="12"/>
      <c r="W77" s="12"/>
      <c r="X77" s="12"/>
      <c r="Y77" s="6"/>
      <c r="Z77" s="5"/>
    </row>
    <row r="78">
      <c r="A78" s="14">
        <v>45910.0</v>
      </c>
      <c r="B78" s="1" t="s">
        <v>173</v>
      </c>
      <c r="C78" s="18">
        <v>99563.0</v>
      </c>
      <c r="D78" s="18">
        <v>98547.0</v>
      </c>
      <c r="E78" s="18">
        <v>103667.0</v>
      </c>
      <c r="F78" s="18">
        <v>81487.0</v>
      </c>
      <c r="G78" s="8">
        <v>0.8269</v>
      </c>
      <c r="H78" s="18">
        <v>1069.0</v>
      </c>
      <c r="I78" s="8">
        <v>0.0131</v>
      </c>
      <c r="J78" s="3">
        <v>629.0</v>
      </c>
      <c r="K78" s="9">
        <v>0.0077</v>
      </c>
      <c r="L78" s="1">
        <v>467.0</v>
      </c>
      <c r="M78" s="8">
        <v>0.0047</v>
      </c>
      <c r="N78" s="1">
        <v>0.0</v>
      </c>
      <c r="O78" s="8">
        <v>0.0</v>
      </c>
      <c r="P78" s="1">
        <v>214.0</v>
      </c>
      <c r="Q78" s="1">
        <v>4.0</v>
      </c>
      <c r="R78" s="8">
        <v>0.0187</v>
      </c>
      <c r="S78" s="1" t="s">
        <v>174</v>
      </c>
      <c r="T78" s="1" t="s">
        <v>23</v>
      </c>
      <c r="U78" s="11">
        <f t="shared" si="1"/>
        <v>98.97954059</v>
      </c>
      <c r="V78" s="12"/>
      <c r="W78" s="12"/>
      <c r="X78" s="12"/>
      <c r="Y78" s="6"/>
      <c r="Z78" s="5"/>
    </row>
    <row r="79">
      <c r="A79" s="14">
        <v>45911.0</v>
      </c>
      <c r="B79" s="1" t="s">
        <v>175</v>
      </c>
      <c r="C79" s="18">
        <v>108393.0</v>
      </c>
      <c r="D79" s="18">
        <v>107421.0</v>
      </c>
      <c r="E79" s="18">
        <v>99612.0</v>
      </c>
      <c r="F79" s="18">
        <v>77459.0</v>
      </c>
      <c r="G79" s="8">
        <v>0.7211</v>
      </c>
      <c r="H79" s="18">
        <v>1868.0</v>
      </c>
      <c r="I79" s="8">
        <v>0.0241</v>
      </c>
      <c r="J79" s="3">
        <v>440.0</v>
      </c>
      <c r="K79" s="9">
        <v>0.0057</v>
      </c>
      <c r="L79" s="1">
        <v>684.0</v>
      </c>
      <c r="M79" s="8">
        <v>0.0064</v>
      </c>
      <c r="N79" s="1">
        <v>2.0</v>
      </c>
      <c r="O79" s="8">
        <v>0.03704</v>
      </c>
      <c r="P79" s="1">
        <v>126.0</v>
      </c>
      <c r="Q79" s="1">
        <v>7.0</v>
      </c>
      <c r="R79" s="8">
        <v>0.0556</v>
      </c>
      <c r="S79" s="1" t="s">
        <v>176</v>
      </c>
      <c r="T79" s="1" t="s">
        <v>23</v>
      </c>
      <c r="U79" s="11">
        <f t="shared" si="1"/>
        <v>99.10326313</v>
      </c>
      <c r="V79" s="12"/>
      <c r="W79" s="12"/>
      <c r="X79" s="12"/>
      <c r="Y79" s="6"/>
      <c r="Z79" s="5"/>
    </row>
    <row r="80">
      <c r="A80" s="14">
        <v>45912.0</v>
      </c>
      <c r="B80" s="1" t="s">
        <v>177</v>
      </c>
      <c r="C80" s="18">
        <v>107530.0</v>
      </c>
      <c r="D80" s="18">
        <v>106470.0</v>
      </c>
      <c r="E80" s="18">
        <v>104688.0</v>
      </c>
      <c r="F80" s="18">
        <v>82285.0</v>
      </c>
      <c r="G80" s="8">
        <v>0.7728</v>
      </c>
      <c r="H80" s="18">
        <v>1304.0</v>
      </c>
      <c r="I80" s="8">
        <v>0.0158</v>
      </c>
      <c r="J80" s="3">
        <v>406.0</v>
      </c>
      <c r="K80" s="9">
        <v>0.0049</v>
      </c>
      <c r="L80" s="1">
        <v>536.0</v>
      </c>
      <c r="M80" s="8">
        <v>0.005</v>
      </c>
      <c r="N80" s="1">
        <v>0.0</v>
      </c>
      <c r="O80" s="8">
        <v>0.0</v>
      </c>
      <c r="P80" s="1">
        <v>161.0</v>
      </c>
      <c r="Q80" s="1">
        <v>1.0</v>
      </c>
      <c r="R80" s="8">
        <v>0.0062</v>
      </c>
      <c r="S80" s="1" t="s">
        <v>178</v>
      </c>
      <c r="T80" s="1" t="s">
        <v>23</v>
      </c>
      <c r="U80" s="11">
        <f t="shared" si="1"/>
        <v>99.01422859</v>
      </c>
      <c r="V80" s="12"/>
      <c r="W80" s="12"/>
      <c r="X80" s="12"/>
      <c r="Y80" s="6"/>
      <c r="Z80" s="5"/>
    </row>
    <row r="81">
      <c r="A81" s="14">
        <v>45915.0</v>
      </c>
      <c r="B81" s="1" t="s">
        <v>179</v>
      </c>
      <c r="C81" s="18">
        <v>106891.0</v>
      </c>
      <c r="D81" s="18">
        <v>105822.0</v>
      </c>
      <c r="E81" s="18">
        <v>100511.0</v>
      </c>
      <c r="F81" s="18">
        <v>79063.0</v>
      </c>
      <c r="G81" s="8">
        <v>0.7471</v>
      </c>
      <c r="H81" s="18">
        <v>1321.0</v>
      </c>
      <c r="I81" s="8">
        <v>0.0167</v>
      </c>
      <c r="J81" s="3">
        <v>362.0</v>
      </c>
      <c r="K81" s="9">
        <v>0.0046</v>
      </c>
      <c r="L81" s="1">
        <v>464.0</v>
      </c>
      <c r="M81" s="8">
        <v>0.0044</v>
      </c>
      <c r="N81" s="1">
        <v>1.0</v>
      </c>
      <c r="O81" s="8">
        <v>0.01754</v>
      </c>
      <c r="P81" s="1">
        <v>234.0</v>
      </c>
      <c r="Q81" s="1">
        <v>5.0</v>
      </c>
      <c r="R81" s="8">
        <v>0.0214</v>
      </c>
      <c r="S81" s="1" t="s">
        <v>180</v>
      </c>
      <c r="T81" s="1" t="s">
        <v>23</v>
      </c>
      <c r="U81" s="11">
        <f t="shared" si="1"/>
        <v>98.9999158</v>
      </c>
      <c r="V81" s="12"/>
      <c r="W81" s="12"/>
      <c r="X81" s="12"/>
      <c r="Y81" s="6"/>
      <c r="Z81" s="5"/>
    </row>
    <row r="82">
      <c r="A82" s="14">
        <v>45916.0</v>
      </c>
      <c r="B82" s="1" t="s">
        <v>181</v>
      </c>
      <c r="C82" s="18">
        <v>111924.0</v>
      </c>
      <c r="D82" s="18">
        <v>110960.0</v>
      </c>
      <c r="E82" s="18">
        <v>106329.0</v>
      </c>
      <c r="F82" s="18">
        <v>83165.0</v>
      </c>
      <c r="G82" s="8">
        <v>0.7495</v>
      </c>
      <c r="H82" s="18">
        <v>1188.0</v>
      </c>
      <c r="I82" s="8">
        <v>0.0143</v>
      </c>
      <c r="J82" s="3">
        <v>440.0</v>
      </c>
      <c r="K82" s="9">
        <v>0.0053</v>
      </c>
      <c r="L82" s="1">
        <v>600.0</v>
      </c>
      <c r="M82" s="8">
        <v>0.0054</v>
      </c>
      <c r="N82" s="1">
        <v>0.0</v>
      </c>
      <c r="O82" s="8">
        <v>0.0</v>
      </c>
      <c r="P82" s="1">
        <v>153.0</v>
      </c>
      <c r="Q82" s="1">
        <v>1.0</v>
      </c>
      <c r="R82" s="8">
        <v>0.0065</v>
      </c>
      <c r="S82" s="1" t="s">
        <v>182</v>
      </c>
      <c r="T82" s="1" t="s">
        <v>23</v>
      </c>
      <c r="U82" s="11">
        <f t="shared" si="1"/>
        <v>99.13870126</v>
      </c>
      <c r="V82" s="12"/>
      <c r="W82" s="12"/>
      <c r="X82" s="12"/>
      <c r="Y82" s="6"/>
      <c r="Z82" s="5"/>
    </row>
    <row r="83">
      <c r="A83" s="14">
        <v>45917.0</v>
      </c>
      <c r="B83" s="1" t="s">
        <v>183</v>
      </c>
      <c r="C83" s="18">
        <v>112970.0</v>
      </c>
      <c r="D83" s="18">
        <v>111407.0</v>
      </c>
      <c r="E83" s="18">
        <v>106626.0</v>
      </c>
      <c r="F83" s="18">
        <v>84097.0</v>
      </c>
      <c r="G83" s="8">
        <v>0.7549</v>
      </c>
      <c r="H83" s="18">
        <v>2029.0</v>
      </c>
      <c r="I83" s="8">
        <v>0.0241</v>
      </c>
      <c r="J83" s="3">
        <v>475.0</v>
      </c>
      <c r="K83" s="9">
        <v>0.0056</v>
      </c>
      <c r="L83" s="1">
        <v>624.0</v>
      </c>
      <c r="M83" s="8">
        <v>0.0056</v>
      </c>
      <c r="N83" s="1">
        <v>0.0</v>
      </c>
      <c r="O83" s="8">
        <v>0.0</v>
      </c>
      <c r="P83" s="1">
        <v>234.0</v>
      </c>
      <c r="Q83" s="1">
        <v>5.0</v>
      </c>
      <c r="R83" s="8">
        <v>0.0214</v>
      </c>
      <c r="S83" s="1" t="s">
        <v>184</v>
      </c>
      <c r="T83" s="1" t="s">
        <v>23</v>
      </c>
      <c r="U83" s="11">
        <f t="shared" si="1"/>
        <v>98.61644684</v>
      </c>
      <c r="V83" s="12"/>
      <c r="W83" s="12"/>
      <c r="X83" s="12"/>
      <c r="Y83" s="6"/>
      <c r="Z83" s="5"/>
    </row>
    <row r="84">
      <c r="A84" s="14">
        <v>45918.0</v>
      </c>
      <c r="B84" s="1" t="s">
        <v>185</v>
      </c>
      <c r="C84" s="18">
        <v>112348.0</v>
      </c>
      <c r="D84" s="18">
        <v>111039.0</v>
      </c>
      <c r="E84" s="18">
        <v>97063.0</v>
      </c>
      <c r="F84" s="18">
        <v>75378.0</v>
      </c>
      <c r="G84" s="8">
        <v>0.6788</v>
      </c>
      <c r="H84" s="18">
        <v>1092.0</v>
      </c>
      <c r="I84" s="8">
        <v>0.0145</v>
      </c>
      <c r="J84" s="3">
        <v>385.0</v>
      </c>
      <c r="K84" s="9">
        <v>0.0051</v>
      </c>
      <c r="L84" s="1">
        <v>503.0</v>
      </c>
      <c r="M84" s="8">
        <v>0.0045</v>
      </c>
      <c r="N84" s="1">
        <v>0.0</v>
      </c>
      <c r="O84" s="8">
        <v>0.0</v>
      </c>
      <c r="P84" s="1">
        <v>213.0</v>
      </c>
      <c r="Q84" s="1">
        <v>1.0</v>
      </c>
      <c r="R84" s="8">
        <v>0.0047</v>
      </c>
      <c r="S84" s="1" t="s">
        <v>186</v>
      </c>
      <c r="T84" s="1" t="s">
        <v>23</v>
      </c>
      <c r="U84" s="11">
        <f t="shared" si="1"/>
        <v>98.83487022</v>
      </c>
      <c r="V84" s="12"/>
      <c r="W84" s="12"/>
      <c r="X84" s="12"/>
      <c r="Y84" s="6"/>
      <c r="Z84" s="5"/>
    </row>
    <row r="85">
      <c r="A85" s="14">
        <v>45919.0</v>
      </c>
      <c r="B85" s="1" t="s">
        <v>187</v>
      </c>
      <c r="C85" s="18">
        <v>106496.0</v>
      </c>
      <c r="D85" s="18">
        <v>105455.0</v>
      </c>
      <c r="E85" s="18">
        <v>116675.0</v>
      </c>
      <c r="F85" s="18">
        <v>94105.0</v>
      </c>
      <c r="G85" s="8">
        <v>0.8924</v>
      </c>
      <c r="H85" s="1">
        <v>888.0</v>
      </c>
      <c r="I85" s="8">
        <v>0.0094</v>
      </c>
      <c r="J85" s="3">
        <v>308.0</v>
      </c>
      <c r="K85" s="9">
        <v>0.0033</v>
      </c>
      <c r="L85" s="1">
        <v>373.0</v>
      </c>
      <c r="M85" s="8">
        <v>0.0035</v>
      </c>
      <c r="N85" s="1">
        <v>0.0</v>
      </c>
      <c r="O85" s="8">
        <v>0.0</v>
      </c>
      <c r="P85" s="1">
        <v>156.0</v>
      </c>
      <c r="Q85" s="1">
        <v>2.0</v>
      </c>
      <c r="R85" s="8">
        <v>0.0128</v>
      </c>
      <c r="S85" s="1" t="s">
        <v>188</v>
      </c>
      <c r="T85" s="1" t="s">
        <v>23</v>
      </c>
      <c r="U85" s="11">
        <f t="shared" si="1"/>
        <v>99.0224985</v>
      </c>
      <c r="V85" s="12"/>
      <c r="W85" s="12"/>
      <c r="X85" s="12"/>
      <c r="Y85" s="6"/>
      <c r="Z85" s="5"/>
    </row>
    <row r="86">
      <c r="A86" s="14">
        <v>45922.0</v>
      </c>
      <c r="B86" s="1" t="s">
        <v>189</v>
      </c>
      <c r="C86" s="18">
        <v>104829.0</v>
      </c>
      <c r="D86" s="18">
        <v>103507.0</v>
      </c>
      <c r="E86" s="18">
        <v>44559.0</v>
      </c>
      <c r="F86" s="18">
        <v>30453.0</v>
      </c>
      <c r="G86" s="8">
        <v>0.2942</v>
      </c>
      <c r="H86" s="1">
        <v>518.0</v>
      </c>
      <c r="I86" s="8">
        <v>0.017</v>
      </c>
      <c r="J86" s="3">
        <v>213.0</v>
      </c>
      <c r="K86" s="9">
        <v>0.007</v>
      </c>
      <c r="L86" s="1">
        <v>291.0</v>
      </c>
      <c r="M86" s="8">
        <v>0.0028</v>
      </c>
      <c r="N86" s="1">
        <v>0.0</v>
      </c>
      <c r="O86" s="8">
        <v>0.0</v>
      </c>
      <c r="P86" s="1">
        <v>163.0</v>
      </c>
      <c r="Q86" s="1">
        <v>4.0</v>
      </c>
      <c r="R86" s="8">
        <v>0.0245</v>
      </c>
      <c r="S86" s="1" t="s">
        <v>190</v>
      </c>
      <c r="T86" s="1" t="s">
        <v>23</v>
      </c>
      <c r="U86" s="11">
        <f t="shared" si="1"/>
        <v>98.73889859</v>
      </c>
      <c r="V86" s="12"/>
      <c r="W86" s="12"/>
      <c r="X86" s="12"/>
      <c r="Y86" s="6"/>
      <c r="Z86" s="5"/>
    </row>
    <row r="87">
      <c r="A87" s="14">
        <v>45923.0</v>
      </c>
      <c r="B87" s="1" t="s">
        <v>191</v>
      </c>
      <c r="C87" s="18">
        <v>117469.0</v>
      </c>
      <c r="D87" s="18">
        <v>116365.0</v>
      </c>
      <c r="E87" s="18">
        <v>64487.0</v>
      </c>
      <c r="F87" s="18">
        <v>47091.0</v>
      </c>
      <c r="G87" s="8">
        <v>0.4047</v>
      </c>
      <c r="H87" s="18">
        <v>1440.0</v>
      </c>
      <c r="I87" s="8">
        <v>0.0306</v>
      </c>
      <c r="J87" s="3">
        <v>383.0</v>
      </c>
      <c r="K87" s="9">
        <v>0.0081</v>
      </c>
      <c r="L87" s="1">
        <v>507.0</v>
      </c>
      <c r="M87" s="8">
        <v>0.0044</v>
      </c>
      <c r="N87" s="1">
        <v>0.0</v>
      </c>
      <c r="O87" s="8">
        <v>0.0</v>
      </c>
      <c r="P87" s="1">
        <v>238.0</v>
      </c>
      <c r="Q87" s="1">
        <v>6.0</v>
      </c>
      <c r="R87" s="8">
        <v>0.0252</v>
      </c>
      <c r="S87" s="1" t="s">
        <v>192</v>
      </c>
      <c r="T87" s="1" t="s">
        <v>23</v>
      </c>
      <c r="U87" s="11">
        <f t="shared" si="1"/>
        <v>99.06017758</v>
      </c>
      <c r="V87" s="12"/>
      <c r="W87" s="12"/>
      <c r="X87" s="12"/>
      <c r="Y87" s="6"/>
      <c r="Z87" s="5"/>
    </row>
    <row r="88">
      <c r="A88" s="14">
        <v>45924.0</v>
      </c>
      <c r="B88" s="1" t="s">
        <v>193</v>
      </c>
      <c r="C88" s="18">
        <v>118796.0</v>
      </c>
      <c r="D88" s="18">
        <v>117159.0</v>
      </c>
      <c r="E88" s="18">
        <v>93567.0</v>
      </c>
      <c r="F88" s="18">
        <v>75320.0</v>
      </c>
      <c r="G88" s="8">
        <v>0.6429</v>
      </c>
      <c r="H88" s="1">
        <v>817.0</v>
      </c>
      <c r="I88" s="8">
        <v>0.0108</v>
      </c>
      <c r="J88" s="3">
        <v>258.0</v>
      </c>
      <c r="K88" s="9">
        <v>0.0034</v>
      </c>
      <c r="L88" s="1">
        <v>359.0</v>
      </c>
      <c r="M88" s="8">
        <v>0.0031</v>
      </c>
      <c r="N88" s="1">
        <v>0.0</v>
      </c>
      <c r="O88" s="8">
        <v>0.0</v>
      </c>
      <c r="P88" s="1">
        <v>173.0</v>
      </c>
      <c r="Q88" s="1">
        <v>0.0</v>
      </c>
      <c r="R88" s="8">
        <v>0.0</v>
      </c>
      <c r="S88" s="1" t="s">
        <v>194</v>
      </c>
      <c r="T88" s="1" t="s">
        <v>23</v>
      </c>
      <c r="U88" s="11">
        <f t="shared" si="1"/>
        <v>98.62200747</v>
      </c>
      <c r="V88" s="12"/>
      <c r="W88" s="12"/>
      <c r="X88" s="12"/>
      <c r="Y88" s="6"/>
      <c r="Z88" s="5"/>
    </row>
    <row r="89">
      <c r="A89" s="14">
        <v>45925.0</v>
      </c>
      <c r="B89" s="1" t="s">
        <v>195</v>
      </c>
      <c r="C89" s="18">
        <v>118432.0</v>
      </c>
      <c r="D89" s="18">
        <v>117024.0</v>
      </c>
      <c r="E89" s="18">
        <v>111971.0</v>
      </c>
      <c r="F89" s="18">
        <v>91765.0</v>
      </c>
      <c r="G89" s="8">
        <v>0.7842</v>
      </c>
      <c r="H89" s="1">
        <v>889.0</v>
      </c>
      <c r="I89" s="8">
        <v>0.0097</v>
      </c>
      <c r="J89" s="3">
        <v>268.0</v>
      </c>
      <c r="K89" s="9">
        <v>0.0029</v>
      </c>
      <c r="L89" s="1">
        <v>372.0</v>
      </c>
      <c r="M89" s="8">
        <v>0.0032</v>
      </c>
      <c r="N89" s="1">
        <v>0.0</v>
      </c>
      <c r="O89" s="8">
        <v>0.0</v>
      </c>
      <c r="P89" s="1">
        <v>54.0</v>
      </c>
      <c r="Q89" s="1">
        <v>3.0</v>
      </c>
      <c r="R89" s="8">
        <v>0.0556</v>
      </c>
      <c r="S89" s="1" t="s">
        <v>196</v>
      </c>
      <c r="T89" s="1" t="s">
        <v>23</v>
      </c>
      <c r="U89" s="11">
        <f t="shared" si="1"/>
        <v>98.81113213</v>
      </c>
      <c r="V89" s="12"/>
      <c r="W89" s="12"/>
      <c r="X89" s="12"/>
      <c r="Y89" s="6"/>
      <c r="Z89" s="5"/>
    </row>
    <row r="90">
      <c r="A90" s="14">
        <v>45926.0</v>
      </c>
      <c r="B90" s="1" t="s">
        <v>197</v>
      </c>
      <c r="C90" s="18">
        <v>112279.0</v>
      </c>
      <c r="D90" s="18">
        <v>110760.0</v>
      </c>
      <c r="E90" s="18">
        <v>85817.0</v>
      </c>
      <c r="F90" s="18">
        <v>67013.0</v>
      </c>
      <c r="G90" s="8">
        <v>0.605</v>
      </c>
      <c r="H90" s="18">
        <v>1503.0</v>
      </c>
      <c r="I90" s="8">
        <v>0.0224</v>
      </c>
      <c r="J90" s="3">
        <v>252.0</v>
      </c>
      <c r="K90" s="9">
        <v>0.0038</v>
      </c>
      <c r="L90" s="1">
        <v>368.0</v>
      </c>
      <c r="M90" s="8">
        <v>0.0033</v>
      </c>
      <c r="N90" s="1">
        <v>1.0</v>
      </c>
      <c r="O90" s="8">
        <v>0.01389</v>
      </c>
      <c r="P90" s="1">
        <v>65.0</v>
      </c>
      <c r="Q90" s="1">
        <v>3.0</v>
      </c>
      <c r="R90" s="8">
        <v>0.0462</v>
      </c>
      <c r="S90" s="1" t="s">
        <v>198</v>
      </c>
      <c r="T90" s="1" t="s">
        <v>23</v>
      </c>
      <c r="U90" s="11">
        <f t="shared" si="1"/>
        <v>98.64712012</v>
      </c>
      <c r="V90" s="12"/>
      <c r="W90" s="12"/>
      <c r="X90" s="12"/>
      <c r="Y90" s="6"/>
      <c r="Z90" s="5"/>
    </row>
    <row r="91">
      <c r="A91" s="14">
        <v>45929.0</v>
      </c>
      <c r="B91" s="1" t="s">
        <v>199</v>
      </c>
      <c r="C91" s="18">
        <v>130829.0</v>
      </c>
      <c r="D91" s="18">
        <v>129542.0</v>
      </c>
      <c r="E91" s="18">
        <v>128738.0</v>
      </c>
      <c r="F91" s="18">
        <v>107037.0</v>
      </c>
      <c r="G91" s="8">
        <v>0.8263</v>
      </c>
      <c r="H91" s="18">
        <v>1360.0</v>
      </c>
      <c r="I91" s="8">
        <v>0.0127</v>
      </c>
      <c r="J91" s="3">
        <v>270.0</v>
      </c>
      <c r="K91" s="9">
        <v>0.0025</v>
      </c>
      <c r="L91" s="1">
        <v>411.0</v>
      </c>
      <c r="M91" s="8">
        <v>0.0032</v>
      </c>
      <c r="N91" s="1">
        <v>1.0</v>
      </c>
      <c r="O91" s="8">
        <v>0.00139</v>
      </c>
      <c r="P91" s="1">
        <v>206.0</v>
      </c>
      <c r="Q91" s="1">
        <v>2.0</v>
      </c>
      <c r="R91" s="8">
        <v>0.0097</v>
      </c>
      <c r="S91" s="1" t="s">
        <v>200</v>
      </c>
      <c r="T91" s="1" t="s">
        <v>23</v>
      </c>
      <c r="U91" s="11">
        <f t="shared" si="1"/>
        <v>99.01627315</v>
      </c>
      <c r="V91" s="12"/>
      <c r="W91" s="12"/>
      <c r="X91" s="12"/>
      <c r="Y91" s="6"/>
      <c r="Z91" s="5"/>
    </row>
    <row r="92">
      <c r="A92" s="14">
        <v>45930.0</v>
      </c>
      <c r="B92" s="1" t="s">
        <v>201</v>
      </c>
      <c r="C92" s="18">
        <v>135996.0</v>
      </c>
      <c r="D92" s="18">
        <v>134770.0</v>
      </c>
      <c r="E92" s="18">
        <v>65336.0</v>
      </c>
      <c r="F92" s="18">
        <v>47432.0</v>
      </c>
      <c r="G92" s="8">
        <v>0.3519</v>
      </c>
      <c r="H92" s="18">
        <v>1494.0</v>
      </c>
      <c r="I92" s="8">
        <v>0.0315</v>
      </c>
      <c r="J92" s="3">
        <v>401.0</v>
      </c>
      <c r="K92" s="9">
        <v>0.0085</v>
      </c>
      <c r="L92" s="1">
        <v>524.0</v>
      </c>
      <c r="M92" s="8">
        <v>0.0039</v>
      </c>
      <c r="N92" s="1">
        <v>0.0</v>
      </c>
      <c r="O92" s="8">
        <v>0.0</v>
      </c>
      <c r="P92" s="1">
        <v>561.0</v>
      </c>
      <c r="Q92" s="1">
        <v>2.0</v>
      </c>
      <c r="R92" s="8">
        <v>0.0036</v>
      </c>
      <c r="S92" s="1" t="s">
        <v>202</v>
      </c>
      <c r="T92" s="1" t="s">
        <v>23</v>
      </c>
      <c r="U92" s="11">
        <f t="shared" si="1"/>
        <v>99.0985029</v>
      </c>
      <c r="V92" s="12"/>
      <c r="W92" s="12"/>
      <c r="X92" s="12"/>
      <c r="Y92" s="6"/>
      <c r="Z92" s="5"/>
    </row>
    <row r="93">
      <c r="A93" s="14">
        <v>45931.0</v>
      </c>
      <c r="B93" s="1" t="s">
        <v>203</v>
      </c>
      <c r="C93" s="18">
        <v>123484.0</v>
      </c>
      <c r="D93" s="18">
        <v>122045.0</v>
      </c>
      <c r="E93" s="18">
        <v>60726.0</v>
      </c>
      <c r="F93" s="18">
        <v>43951.0</v>
      </c>
      <c r="G93" s="8">
        <v>0.3601</v>
      </c>
      <c r="H93" s="1">
        <v>766.0</v>
      </c>
      <c r="I93" s="8">
        <v>0.0174</v>
      </c>
      <c r="J93" s="3">
        <v>286.0</v>
      </c>
      <c r="K93" s="9">
        <v>0.0065</v>
      </c>
      <c r="L93" s="1">
        <v>351.0</v>
      </c>
      <c r="M93" s="8">
        <v>0.0029</v>
      </c>
      <c r="N93" s="1">
        <v>0.0</v>
      </c>
      <c r="O93" s="8">
        <v>0.0</v>
      </c>
      <c r="P93" s="18">
        <v>1941.0</v>
      </c>
      <c r="Q93" s="1">
        <v>3.0</v>
      </c>
      <c r="R93" s="8">
        <v>0.0015</v>
      </c>
      <c r="S93" s="1" t="s">
        <v>204</v>
      </c>
      <c r="T93" s="1" t="s">
        <v>23</v>
      </c>
      <c r="U93" s="11">
        <f t="shared" si="1"/>
        <v>98.83466684</v>
      </c>
      <c r="V93" s="12"/>
      <c r="W93" s="12"/>
      <c r="X93" s="12"/>
      <c r="Y93" s="6"/>
      <c r="Z93" s="5"/>
    </row>
    <row r="94">
      <c r="A94" s="14">
        <v>45932.0</v>
      </c>
      <c r="B94" s="1" t="s">
        <v>205</v>
      </c>
      <c r="C94" s="18">
        <v>127705.0</v>
      </c>
      <c r="D94" s="18">
        <v>126479.0</v>
      </c>
      <c r="E94" s="18">
        <v>85060.0</v>
      </c>
      <c r="F94" s="18">
        <v>59149.0</v>
      </c>
      <c r="G94" s="8">
        <v>0.4677</v>
      </c>
      <c r="H94" s="18">
        <v>1752.0</v>
      </c>
      <c r="I94" s="8">
        <v>0.0296</v>
      </c>
      <c r="J94" s="3">
        <v>749.0</v>
      </c>
      <c r="K94" s="9">
        <v>0.0127</v>
      </c>
      <c r="L94" s="1">
        <v>794.0</v>
      </c>
      <c r="M94" s="8">
        <v>0.0063</v>
      </c>
      <c r="N94" s="1">
        <v>0.0</v>
      </c>
      <c r="O94" s="8">
        <v>0.0</v>
      </c>
      <c r="P94" s="18">
        <v>2503.0</v>
      </c>
      <c r="Q94" s="1">
        <v>1.0</v>
      </c>
      <c r="R94" s="8">
        <v>4.0E-4</v>
      </c>
      <c r="S94" s="1" t="s">
        <v>206</v>
      </c>
      <c r="T94" s="1" t="s">
        <v>23</v>
      </c>
      <c r="U94" s="11">
        <f t="shared" si="1"/>
        <v>99.03997494</v>
      </c>
      <c r="V94" s="12"/>
      <c r="W94" s="12"/>
      <c r="X94" s="12"/>
      <c r="Y94" s="6"/>
      <c r="Z94" s="5"/>
    </row>
    <row r="95">
      <c r="A95" s="14">
        <v>45933.0</v>
      </c>
      <c r="B95" s="1" t="s">
        <v>207</v>
      </c>
      <c r="C95" s="18">
        <v>124114.0</v>
      </c>
      <c r="D95" s="18">
        <v>122526.0</v>
      </c>
      <c r="E95" s="18">
        <v>75539.0</v>
      </c>
      <c r="F95" s="18">
        <v>52726.0</v>
      </c>
      <c r="G95" s="8">
        <v>0.4303</v>
      </c>
      <c r="H95" s="18">
        <v>1048.0</v>
      </c>
      <c r="I95" s="8">
        <v>0.0199</v>
      </c>
      <c r="J95" s="3">
        <v>833.0</v>
      </c>
      <c r="K95" s="9">
        <v>0.0158</v>
      </c>
      <c r="L95" s="1">
        <v>741.0</v>
      </c>
      <c r="M95" s="8">
        <v>0.006</v>
      </c>
      <c r="N95" s="1">
        <v>1.0</v>
      </c>
      <c r="O95" s="8">
        <v>0.00136</v>
      </c>
      <c r="P95" s="18">
        <v>2362.0</v>
      </c>
      <c r="Q95" s="1">
        <v>6.0</v>
      </c>
      <c r="R95" s="8">
        <v>0.0025</v>
      </c>
      <c r="S95" s="1" t="s">
        <v>208</v>
      </c>
      <c r="T95" s="1" t="s">
        <v>23</v>
      </c>
      <c r="U95" s="11">
        <f t="shared" si="1"/>
        <v>98.72053112</v>
      </c>
      <c r="V95" s="12"/>
      <c r="W95" s="12"/>
      <c r="X95" s="12"/>
      <c r="Y95" s="6"/>
      <c r="Z95" s="5"/>
    </row>
    <row r="96">
      <c r="A96" s="14">
        <v>45936.0</v>
      </c>
      <c r="B96" s="1" t="s">
        <v>209</v>
      </c>
      <c r="C96" s="18">
        <v>127322.0</v>
      </c>
      <c r="D96" s="18">
        <v>126058.0</v>
      </c>
      <c r="E96" s="18">
        <v>55185.0</v>
      </c>
      <c r="F96" s="18">
        <v>37374.0</v>
      </c>
      <c r="G96" s="8">
        <v>0.2965</v>
      </c>
      <c r="H96" s="1">
        <v>575.0</v>
      </c>
      <c r="I96" s="8">
        <v>0.0154</v>
      </c>
      <c r="J96" s="3">
        <v>242.0</v>
      </c>
      <c r="K96" s="9">
        <v>0.0065</v>
      </c>
      <c r="L96" s="1">
        <v>269.0</v>
      </c>
      <c r="M96" s="8">
        <v>0.0021</v>
      </c>
      <c r="N96" s="1">
        <v>0.0</v>
      </c>
      <c r="O96" s="8">
        <v>0.0</v>
      </c>
      <c r="P96" s="1">
        <v>105.0</v>
      </c>
      <c r="Q96" s="1">
        <v>1.0</v>
      </c>
      <c r="R96" s="8">
        <v>0.0095</v>
      </c>
      <c r="S96" s="1" t="s">
        <v>210</v>
      </c>
      <c r="T96" s="1" t="s">
        <v>23</v>
      </c>
      <c r="U96" s="11">
        <f t="shared" si="1"/>
        <v>99.00724148</v>
      </c>
      <c r="V96" s="12"/>
      <c r="W96" s="12"/>
      <c r="X96" s="12"/>
      <c r="Y96" s="6"/>
      <c r="Z96" s="5"/>
    </row>
    <row r="97">
      <c r="A97" s="14">
        <v>45937.0</v>
      </c>
      <c r="B97" s="1" t="s">
        <v>211</v>
      </c>
      <c r="C97" s="18">
        <v>123097.0</v>
      </c>
      <c r="D97" s="18">
        <v>121903.0</v>
      </c>
      <c r="E97" s="18">
        <v>52989.0</v>
      </c>
      <c r="F97" s="18">
        <v>35517.0</v>
      </c>
      <c r="G97" s="8">
        <v>0.2914</v>
      </c>
      <c r="H97" s="1">
        <v>524.0</v>
      </c>
      <c r="I97" s="8">
        <v>0.0148</v>
      </c>
      <c r="J97" s="3">
        <v>356.0</v>
      </c>
      <c r="K97" s="16">
        <v>0.01</v>
      </c>
      <c r="L97" s="1">
        <v>304.0</v>
      </c>
      <c r="M97" s="8">
        <v>0.0025</v>
      </c>
      <c r="N97" s="1">
        <v>0.0</v>
      </c>
      <c r="O97" s="8">
        <v>0.0</v>
      </c>
      <c r="P97" s="1">
        <v>72.0</v>
      </c>
      <c r="Q97" s="1">
        <v>4.0</v>
      </c>
      <c r="R97" s="8">
        <v>0.0556</v>
      </c>
      <c r="S97" s="1" t="s">
        <v>212</v>
      </c>
      <c r="T97" s="1" t="s">
        <v>23</v>
      </c>
      <c r="U97" s="11">
        <f t="shared" si="1"/>
        <v>99.03003323</v>
      </c>
      <c r="V97" s="12"/>
      <c r="W97" s="12"/>
      <c r="X97" s="12"/>
      <c r="Y97" s="6"/>
      <c r="Z97" s="5"/>
    </row>
    <row r="98">
      <c r="A98" s="14">
        <v>45938.0</v>
      </c>
      <c r="B98" s="1" t="s">
        <v>213</v>
      </c>
      <c r="C98" s="18">
        <v>132238.0</v>
      </c>
      <c r="D98" s="18">
        <v>130918.0</v>
      </c>
      <c r="E98" s="18">
        <v>56933.0</v>
      </c>
      <c r="F98" s="18">
        <v>38487.0</v>
      </c>
      <c r="G98" s="8">
        <v>0.294</v>
      </c>
      <c r="H98" s="1">
        <v>709.0</v>
      </c>
      <c r="I98" s="8">
        <v>0.0184</v>
      </c>
      <c r="J98" s="3">
        <v>460.0</v>
      </c>
      <c r="K98" s="9">
        <v>0.012</v>
      </c>
      <c r="L98" s="1">
        <v>494.0</v>
      </c>
      <c r="M98" s="8">
        <v>0.0038</v>
      </c>
      <c r="N98" s="1">
        <v>0.0</v>
      </c>
      <c r="O98" s="8">
        <v>0.0</v>
      </c>
      <c r="P98" s="1">
        <v>134.0</v>
      </c>
      <c r="Q98" s="1">
        <v>3.0</v>
      </c>
      <c r="R98" s="8">
        <v>0.0224</v>
      </c>
      <c r="S98" s="1" t="s">
        <v>214</v>
      </c>
      <c r="T98" s="1" t="s">
        <v>23</v>
      </c>
      <c r="U98" s="11">
        <f t="shared" si="1"/>
        <v>99.00179979</v>
      </c>
      <c r="V98" s="12"/>
      <c r="W98" s="12"/>
      <c r="X98" s="12"/>
      <c r="Y98" s="6"/>
      <c r="Z98" s="5"/>
    </row>
    <row r="99">
      <c r="A99" s="14">
        <v>45939.0</v>
      </c>
      <c r="B99" s="1" t="s">
        <v>215</v>
      </c>
      <c r="C99" s="18">
        <v>122774.0</v>
      </c>
      <c r="D99" s="18">
        <v>120758.0</v>
      </c>
      <c r="E99" s="18">
        <v>51943.0</v>
      </c>
      <c r="F99" s="18">
        <v>34270.0</v>
      </c>
      <c r="G99" s="8">
        <v>0.2838</v>
      </c>
      <c r="H99" s="1">
        <v>397.0</v>
      </c>
      <c r="I99" s="8">
        <v>0.0116</v>
      </c>
      <c r="J99" s="3">
        <v>236.0</v>
      </c>
      <c r="K99" s="9">
        <v>0.0069</v>
      </c>
      <c r="L99" s="1">
        <v>216.0</v>
      </c>
      <c r="M99" s="8">
        <v>0.0018</v>
      </c>
      <c r="N99" s="1">
        <v>0.0</v>
      </c>
      <c r="O99" s="8">
        <v>0.0</v>
      </c>
      <c r="P99" s="1">
        <v>102.0</v>
      </c>
      <c r="Q99" s="1">
        <v>4.0</v>
      </c>
      <c r="R99" s="8">
        <v>0.0392</v>
      </c>
      <c r="S99" s="1" t="s">
        <v>216</v>
      </c>
      <c r="T99" s="1" t="s">
        <v>23</v>
      </c>
      <c r="U99" s="11">
        <f t="shared" si="1"/>
        <v>98.35795853</v>
      </c>
      <c r="V99" s="12"/>
      <c r="W99" s="12"/>
      <c r="X99" s="12"/>
      <c r="Y99" s="6"/>
      <c r="Z99" s="5"/>
    </row>
    <row r="100">
      <c r="A100" s="14">
        <v>45940.0</v>
      </c>
      <c r="B100" s="1" t="s">
        <v>217</v>
      </c>
      <c r="C100" s="18">
        <v>122414.0</v>
      </c>
      <c r="D100" s="18">
        <v>120328.0</v>
      </c>
      <c r="E100" s="18">
        <v>52641.0</v>
      </c>
      <c r="F100" s="18">
        <v>35127.0</v>
      </c>
      <c r="G100" s="8">
        <v>0.2919</v>
      </c>
      <c r="H100" s="1">
        <v>413.0</v>
      </c>
      <c r="I100" s="8">
        <v>0.0118</v>
      </c>
      <c r="J100" s="3">
        <v>246.0</v>
      </c>
      <c r="K100" s="9">
        <v>0.007</v>
      </c>
      <c r="L100" s="1">
        <v>269.0</v>
      </c>
      <c r="M100" s="8">
        <v>0.0022</v>
      </c>
      <c r="N100" s="1">
        <v>0.0</v>
      </c>
      <c r="O100" s="8">
        <v>0.0</v>
      </c>
      <c r="P100" s="1">
        <v>115.0</v>
      </c>
      <c r="Q100" s="1">
        <v>3.0</v>
      </c>
      <c r="R100" s="8">
        <v>0.0261</v>
      </c>
      <c r="S100" s="1" t="s">
        <v>218</v>
      </c>
      <c r="T100" s="1" t="s">
        <v>23</v>
      </c>
      <c r="U100" s="11">
        <f t="shared" si="1"/>
        <v>98.29594654</v>
      </c>
      <c r="V100" s="12"/>
      <c r="W100" s="12"/>
      <c r="X100" s="12"/>
      <c r="Y100" s="6"/>
      <c r="Z100" s="5"/>
    </row>
    <row r="101">
      <c r="A101" s="14">
        <v>45943.0</v>
      </c>
      <c r="B101" s="1" t="s">
        <v>219</v>
      </c>
      <c r="C101" s="18">
        <v>117496.0</v>
      </c>
      <c r="D101" s="18">
        <v>115922.0</v>
      </c>
      <c r="E101" s="18">
        <v>90645.0</v>
      </c>
      <c r="F101" s="18">
        <v>71971.0</v>
      </c>
      <c r="G101" s="8">
        <v>0.6209</v>
      </c>
      <c r="H101" s="1">
        <v>471.0</v>
      </c>
      <c r="I101" s="8">
        <v>0.0065</v>
      </c>
      <c r="J101" s="3">
        <v>228.0</v>
      </c>
      <c r="K101" s="9">
        <v>0.0032</v>
      </c>
      <c r="L101" s="1">
        <v>263.0</v>
      </c>
      <c r="M101" s="8">
        <v>0.0023</v>
      </c>
      <c r="N101" s="1">
        <v>0.0</v>
      </c>
      <c r="O101" s="8">
        <v>0.0</v>
      </c>
      <c r="P101" s="1">
        <v>66.0</v>
      </c>
      <c r="Q101" s="1">
        <v>3.0</v>
      </c>
      <c r="R101" s="8">
        <v>0.0455</v>
      </c>
      <c r="S101" s="1" t="s">
        <v>220</v>
      </c>
      <c r="T101" s="1" t="s">
        <v>23</v>
      </c>
      <c r="U101" s="11">
        <f t="shared" si="1"/>
        <v>98.66037993</v>
      </c>
      <c r="V101" s="12"/>
      <c r="W101" s="12"/>
      <c r="X101" s="12"/>
      <c r="Y101" s="6"/>
      <c r="Z101" s="5"/>
    </row>
    <row r="102">
      <c r="A102" s="14">
        <v>45944.0</v>
      </c>
      <c r="B102" s="1" t="s">
        <v>221</v>
      </c>
      <c r="C102" s="18">
        <v>121816.0</v>
      </c>
      <c r="D102" s="18">
        <v>119793.0</v>
      </c>
      <c r="E102" s="18">
        <v>49616.0</v>
      </c>
      <c r="F102" s="18">
        <v>33482.0</v>
      </c>
      <c r="G102" s="8">
        <v>0.2795</v>
      </c>
      <c r="H102" s="1">
        <v>367.0</v>
      </c>
      <c r="I102" s="8">
        <v>0.011</v>
      </c>
      <c r="J102" s="3">
        <v>192.0</v>
      </c>
      <c r="K102" s="9">
        <v>0.0057</v>
      </c>
      <c r="L102" s="1">
        <v>242.0</v>
      </c>
      <c r="M102" s="8">
        <v>0.002</v>
      </c>
      <c r="N102" s="1">
        <v>0.0</v>
      </c>
      <c r="O102" s="8">
        <v>0.0</v>
      </c>
      <c r="P102" s="1">
        <v>220.0</v>
      </c>
      <c r="Q102" s="1">
        <v>0.0</v>
      </c>
      <c r="R102" s="8">
        <v>0.0</v>
      </c>
      <c r="S102" s="1" t="s">
        <v>222</v>
      </c>
      <c r="T102" s="1" t="s">
        <v>23</v>
      </c>
      <c r="U102" s="11">
        <f t="shared" si="1"/>
        <v>98.33929861</v>
      </c>
      <c r="V102" s="12"/>
      <c r="W102" s="12"/>
      <c r="X102" s="12"/>
      <c r="Y102" s="6"/>
      <c r="Z102" s="5"/>
    </row>
    <row r="103">
      <c r="A103" s="14">
        <v>45945.0</v>
      </c>
      <c r="B103" s="1" t="s">
        <v>223</v>
      </c>
      <c r="C103" s="18">
        <v>122234.0</v>
      </c>
      <c r="D103" s="18">
        <v>121040.0</v>
      </c>
      <c r="E103" s="18">
        <v>53655.0</v>
      </c>
      <c r="F103" s="18">
        <v>35120.0</v>
      </c>
      <c r="G103" s="8">
        <v>0.2902</v>
      </c>
      <c r="H103" s="1">
        <v>388.0</v>
      </c>
      <c r="I103" s="8">
        <v>0.011</v>
      </c>
      <c r="J103" s="3">
        <v>250.0</v>
      </c>
      <c r="K103" s="9">
        <v>0.0071</v>
      </c>
      <c r="L103" s="1">
        <v>304.0</v>
      </c>
      <c r="M103" s="8">
        <v>0.0025</v>
      </c>
      <c r="N103" s="1">
        <v>0.0</v>
      </c>
      <c r="O103" s="8">
        <v>0.0</v>
      </c>
      <c r="P103" s="1">
        <v>123.0</v>
      </c>
      <c r="Q103" s="1">
        <v>5.0</v>
      </c>
      <c r="R103" s="8">
        <v>0.0407</v>
      </c>
      <c r="S103" s="1" t="s">
        <v>224</v>
      </c>
      <c r="T103" s="1" t="s">
        <v>23</v>
      </c>
      <c r="U103" s="11">
        <f t="shared" si="1"/>
        <v>99.02318504</v>
      </c>
      <c r="V103" s="12"/>
      <c r="W103" s="12"/>
      <c r="X103" s="12"/>
      <c r="Y103" s="6"/>
      <c r="Z103" s="5"/>
    </row>
    <row r="104">
      <c r="A104" s="14">
        <v>45946.0</v>
      </c>
      <c r="B104" s="1" t="s">
        <v>225</v>
      </c>
      <c r="C104" s="18">
        <v>117459.0</v>
      </c>
      <c r="D104" s="18">
        <v>116332.0</v>
      </c>
      <c r="E104" s="18">
        <v>51944.0</v>
      </c>
      <c r="F104" s="18">
        <v>33794.0</v>
      </c>
      <c r="G104" s="8">
        <v>0.2905</v>
      </c>
      <c r="H104" s="1">
        <v>495.0</v>
      </c>
      <c r="I104" s="8">
        <v>0.0146</v>
      </c>
      <c r="J104" s="3">
        <v>202.0</v>
      </c>
      <c r="K104" s="9">
        <v>0.006</v>
      </c>
      <c r="L104" s="1">
        <v>207.0</v>
      </c>
      <c r="M104" s="8">
        <v>0.0018</v>
      </c>
      <c r="N104" s="1">
        <v>0.0</v>
      </c>
      <c r="O104" s="8">
        <v>0.0</v>
      </c>
      <c r="P104" s="1">
        <v>128.0</v>
      </c>
      <c r="Q104" s="1">
        <v>0.0</v>
      </c>
      <c r="R104" s="8">
        <v>0.0</v>
      </c>
      <c r="S104" s="1" t="s">
        <v>226</v>
      </c>
      <c r="T104" s="1" t="s">
        <v>23</v>
      </c>
      <c r="U104" s="11">
        <f t="shared" si="1"/>
        <v>99.04051627</v>
      </c>
      <c r="V104" s="12"/>
      <c r="W104" s="12"/>
      <c r="X104" s="12"/>
      <c r="Y104" s="6"/>
      <c r="Z104" s="5"/>
    </row>
    <row r="105">
      <c r="A105" s="14">
        <v>45947.0</v>
      </c>
      <c r="B105" s="1" t="s">
        <v>227</v>
      </c>
      <c r="C105" s="18">
        <v>116077.0</v>
      </c>
      <c r="D105" s="18">
        <v>114112.0</v>
      </c>
      <c r="E105" s="18">
        <v>84224.0</v>
      </c>
      <c r="F105" s="18">
        <v>66463.0</v>
      </c>
      <c r="G105" s="8">
        <v>0.5824</v>
      </c>
      <c r="H105" s="1">
        <v>331.0</v>
      </c>
      <c r="I105" s="8">
        <v>0.005</v>
      </c>
      <c r="J105" s="3">
        <v>171.0</v>
      </c>
      <c r="K105" s="9">
        <v>0.0026</v>
      </c>
      <c r="L105" s="1">
        <v>221.0</v>
      </c>
      <c r="M105" s="8">
        <v>0.0019</v>
      </c>
      <c r="N105" s="1">
        <v>0.0</v>
      </c>
      <c r="O105" s="8">
        <v>0.0</v>
      </c>
      <c r="P105" s="1">
        <v>104.0</v>
      </c>
      <c r="Q105" s="1">
        <v>2.0</v>
      </c>
      <c r="R105" s="8">
        <v>0.0192</v>
      </c>
      <c r="S105" s="1" t="s">
        <v>228</v>
      </c>
      <c r="T105" s="1" t="s">
        <v>23</v>
      </c>
      <c r="U105" s="11">
        <f t="shared" si="1"/>
        <v>98.30715818</v>
      </c>
      <c r="V105" s="12"/>
      <c r="W105" s="12"/>
      <c r="X105" s="12"/>
      <c r="Y105" s="6"/>
      <c r="Z105" s="5"/>
    </row>
    <row r="106">
      <c r="A106" s="14">
        <v>45950.0</v>
      </c>
      <c r="B106" s="1" t="s">
        <v>229</v>
      </c>
      <c r="C106" s="18">
        <v>113895.0</v>
      </c>
      <c r="D106" s="18">
        <v>112762.0</v>
      </c>
      <c r="E106" s="18">
        <v>51891.0</v>
      </c>
      <c r="F106" s="18">
        <v>37073.0</v>
      </c>
      <c r="G106" s="8">
        <v>0.3288</v>
      </c>
      <c r="H106" s="1">
        <v>424.0</v>
      </c>
      <c r="I106" s="8">
        <v>0.0114</v>
      </c>
      <c r="J106" s="3">
        <v>235.0</v>
      </c>
      <c r="K106" s="9">
        <v>0.0063</v>
      </c>
      <c r="L106" s="1">
        <v>214.0</v>
      </c>
      <c r="M106" s="8">
        <v>0.0019</v>
      </c>
      <c r="N106" s="1">
        <v>0.0</v>
      </c>
      <c r="O106" s="8">
        <v>0.0</v>
      </c>
      <c r="P106" s="18">
        <v>1553.0</v>
      </c>
      <c r="Q106" s="1">
        <v>3.0</v>
      </c>
      <c r="R106" s="8">
        <v>0.0019</v>
      </c>
      <c r="S106" s="1" t="s">
        <v>230</v>
      </c>
      <c r="T106" s="1" t="s">
        <v>23</v>
      </c>
      <c r="U106" s="11">
        <f t="shared" si="1"/>
        <v>99.00522411</v>
      </c>
      <c r="V106" s="12"/>
      <c r="W106" s="12"/>
      <c r="X106" s="12"/>
      <c r="Y106" s="6"/>
      <c r="Z106" s="5"/>
    </row>
    <row r="107">
      <c r="A107" s="14">
        <v>45951.0</v>
      </c>
      <c r="B107" s="1" t="s">
        <v>231</v>
      </c>
      <c r="C107" s="18">
        <v>130219.0</v>
      </c>
      <c r="D107" s="18">
        <v>128807.0</v>
      </c>
      <c r="E107" s="18">
        <v>67828.0</v>
      </c>
      <c r="F107" s="18">
        <v>47359.0</v>
      </c>
      <c r="G107" s="8">
        <v>0.3677</v>
      </c>
      <c r="H107" s="1">
        <v>579.0</v>
      </c>
      <c r="I107" s="8">
        <v>0.0122</v>
      </c>
      <c r="J107" s="3">
        <v>312.0</v>
      </c>
      <c r="K107" s="9">
        <v>0.0066</v>
      </c>
      <c r="L107" s="1">
        <v>342.0</v>
      </c>
      <c r="M107" s="8">
        <v>0.0027</v>
      </c>
      <c r="N107" s="1">
        <v>0.0</v>
      </c>
      <c r="O107" s="8">
        <v>0.0</v>
      </c>
      <c r="P107" s="1">
        <v>138.0</v>
      </c>
      <c r="Q107" s="1">
        <v>2.0</v>
      </c>
      <c r="R107" s="8">
        <v>0.0145</v>
      </c>
      <c r="S107" s="1" t="s">
        <v>232</v>
      </c>
      <c r="T107" s="1" t="s">
        <v>23</v>
      </c>
      <c r="U107" s="11">
        <f t="shared" si="1"/>
        <v>98.91567283</v>
      </c>
      <c r="V107" s="12"/>
      <c r="W107" s="12"/>
      <c r="X107" s="12"/>
      <c r="Y107" s="6"/>
      <c r="Z107" s="5"/>
    </row>
    <row r="108">
      <c r="A108" s="14">
        <v>45952.0</v>
      </c>
      <c r="B108" s="1" t="s">
        <v>233</v>
      </c>
      <c r="C108" s="18">
        <v>132970.0</v>
      </c>
      <c r="D108" s="18">
        <v>130722.0</v>
      </c>
      <c r="E108" s="18">
        <v>58755.0</v>
      </c>
      <c r="F108" s="18">
        <v>41050.0</v>
      </c>
      <c r="G108" s="8">
        <v>0.314</v>
      </c>
      <c r="H108" s="1">
        <v>475.0</v>
      </c>
      <c r="I108" s="8">
        <v>0.0116</v>
      </c>
      <c r="J108" s="3">
        <v>298.0</v>
      </c>
      <c r="K108" s="9">
        <v>0.0073</v>
      </c>
      <c r="L108" s="1">
        <v>397.0</v>
      </c>
      <c r="M108" s="8">
        <v>0.003</v>
      </c>
      <c r="N108" s="1">
        <v>1.0</v>
      </c>
      <c r="O108" s="8">
        <v>8.7E-4</v>
      </c>
      <c r="P108" s="1">
        <v>160.0</v>
      </c>
      <c r="Q108" s="1">
        <v>10.0</v>
      </c>
      <c r="R108" s="8">
        <v>0.0625</v>
      </c>
      <c r="S108" s="1" t="s">
        <v>234</v>
      </c>
      <c r="T108" s="1" t="s">
        <v>23</v>
      </c>
      <c r="U108" s="11">
        <f t="shared" si="1"/>
        <v>98.3093931</v>
      </c>
      <c r="V108" s="12"/>
      <c r="W108" s="12"/>
      <c r="X108" s="12"/>
      <c r="Y108" s="6"/>
      <c r="Z108" s="5"/>
    </row>
    <row r="109">
      <c r="A109" s="14">
        <v>45953.0</v>
      </c>
      <c r="B109" s="1" t="s">
        <v>235</v>
      </c>
      <c r="C109" s="18">
        <v>125173.0</v>
      </c>
      <c r="D109" s="18">
        <v>123910.0</v>
      </c>
      <c r="E109" s="18">
        <v>67452.0</v>
      </c>
      <c r="F109" s="18">
        <v>48013.0</v>
      </c>
      <c r="G109" s="8">
        <v>0.3875</v>
      </c>
      <c r="H109" s="18">
        <v>1090.0</v>
      </c>
      <c r="I109" s="8">
        <v>0.0227</v>
      </c>
      <c r="J109" s="3">
        <v>662.0</v>
      </c>
      <c r="K109" s="9">
        <v>0.0138</v>
      </c>
      <c r="L109" s="1">
        <v>310.0</v>
      </c>
      <c r="M109" s="8">
        <v>0.0025</v>
      </c>
      <c r="N109" s="1">
        <v>0.0</v>
      </c>
      <c r="O109" s="8">
        <v>0.0</v>
      </c>
      <c r="P109" s="1">
        <v>245.0</v>
      </c>
      <c r="Q109" s="1">
        <v>8.0</v>
      </c>
      <c r="R109" s="8">
        <v>0.0327</v>
      </c>
      <c r="S109" s="1" t="s">
        <v>236</v>
      </c>
      <c r="T109" s="1" t="s">
        <v>23</v>
      </c>
      <c r="U109" s="11">
        <f t="shared" si="1"/>
        <v>98.99099646</v>
      </c>
      <c r="V109" s="12"/>
      <c r="W109" s="12"/>
      <c r="X109" s="12"/>
      <c r="Y109" s="6"/>
      <c r="Z109" s="5"/>
    </row>
    <row r="110">
      <c r="A110" s="14">
        <v>45954.0</v>
      </c>
      <c r="B110" s="1" t="s">
        <v>237</v>
      </c>
      <c r="C110" s="18">
        <v>124414.0</v>
      </c>
      <c r="D110" s="18">
        <v>122276.0</v>
      </c>
      <c r="E110" s="18">
        <v>63530.0</v>
      </c>
      <c r="F110" s="18">
        <v>44611.0</v>
      </c>
      <c r="G110" s="8">
        <v>0.3648</v>
      </c>
      <c r="H110" s="18">
        <v>6072.0</v>
      </c>
      <c r="I110" s="8">
        <v>0.1361</v>
      </c>
      <c r="J110" s="3">
        <v>192.0</v>
      </c>
      <c r="K110" s="9">
        <v>0.0043</v>
      </c>
      <c r="L110" s="1">
        <v>249.0</v>
      </c>
      <c r="M110" s="8">
        <v>0.002</v>
      </c>
      <c r="N110" s="1">
        <v>0.0</v>
      </c>
      <c r="O110" s="8">
        <v>0.0</v>
      </c>
      <c r="P110" s="1">
        <v>774.0</v>
      </c>
      <c r="Q110" s="1">
        <v>2.0</v>
      </c>
      <c r="R110" s="8">
        <v>0.0026</v>
      </c>
      <c r="S110" s="1" t="s">
        <v>238</v>
      </c>
      <c r="T110" s="1" t="s">
        <v>23</v>
      </c>
      <c r="U110" s="11">
        <f t="shared" si="1"/>
        <v>98.28154388</v>
      </c>
      <c r="V110" s="12"/>
      <c r="W110" s="12"/>
      <c r="X110" s="12"/>
      <c r="Y110" s="6"/>
      <c r="Z110" s="5"/>
    </row>
    <row r="111">
      <c r="A111" s="14">
        <v>45957.0</v>
      </c>
      <c r="B111" s="1" t="s">
        <v>239</v>
      </c>
      <c r="C111" s="18">
        <v>119350.0</v>
      </c>
      <c r="D111" s="18">
        <v>118142.0</v>
      </c>
      <c r="E111" s="18">
        <v>65310.0</v>
      </c>
      <c r="F111" s="18">
        <v>46052.0</v>
      </c>
      <c r="G111" s="8">
        <v>0.3898</v>
      </c>
      <c r="H111" s="1">
        <v>534.0</v>
      </c>
      <c r="I111" s="8">
        <v>0.0116</v>
      </c>
      <c r="J111" s="3">
        <v>252.0</v>
      </c>
      <c r="K111" s="9">
        <v>0.0055</v>
      </c>
      <c r="L111" s="1">
        <v>257.0</v>
      </c>
      <c r="M111" s="8">
        <v>0.0022</v>
      </c>
      <c r="N111" s="1">
        <v>0.0</v>
      </c>
      <c r="O111" s="8">
        <v>0.0</v>
      </c>
      <c r="P111" s="1">
        <v>72.0</v>
      </c>
      <c r="Q111" s="1">
        <v>4.0</v>
      </c>
      <c r="R111" s="8">
        <v>0.0556</v>
      </c>
      <c r="S111" s="1" t="s">
        <v>240</v>
      </c>
      <c r="T111" s="1" t="s">
        <v>23</v>
      </c>
      <c r="U111" s="11">
        <f t="shared" si="1"/>
        <v>98.98785086</v>
      </c>
      <c r="V111" s="12"/>
      <c r="W111" s="12"/>
      <c r="X111" s="12"/>
      <c r="Y111" s="6"/>
      <c r="Z111" s="5"/>
    </row>
    <row r="112">
      <c r="A112" s="14">
        <v>45958.0</v>
      </c>
      <c r="B112" s="1" t="s">
        <v>241</v>
      </c>
      <c r="C112" s="18">
        <v>118524.0</v>
      </c>
      <c r="D112" s="18">
        <v>117332.0</v>
      </c>
      <c r="E112" s="18">
        <v>62726.0</v>
      </c>
      <c r="F112" s="18">
        <v>45053.0</v>
      </c>
      <c r="G112" s="8">
        <v>0.384</v>
      </c>
      <c r="H112" s="1">
        <v>451.0</v>
      </c>
      <c r="I112" s="15">
        <v>0.01</v>
      </c>
      <c r="J112" s="3">
        <v>189.0</v>
      </c>
      <c r="K112" s="9">
        <v>0.0042</v>
      </c>
      <c r="L112" s="1">
        <v>210.0</v>
      </c>
      <c r="M112" s="8">
        <v>0.0018</v>
      </c>
      <c r="N112" s="1">
        <v>0.0</v>
      </c>
      <c r="O112" s="8">
        <v>0.0</v>
      </c>
      <c r="P112" s="1">
        <v>232.0</v>
      </c>
      <c r="Q112" s="1">
        <v>3.0</v>
      </c>
      <c r="R112" s="8">
        <v>0.0129</v>
      </c>
      <c r="S112" s="1" t="s">
        <v>242</v>
      </c>
      <c r="T112" s="1" t="s">
        <v>23</v>
      </c>
      <c r="U112" s="11">
        <f t="shared" si="1"/>
        <v>98.99429651</v>
      </c>
      <c r="V112" s="12"/>
      <c r="W112" s="12"/>
      <c r="X112" s="12"/>
      <c r="Y112" s="6"/>
      <c r="Z112" s="5"/>
    </row>
    <row r="113">
      <c r="A113" s="14">
        <v>45959.0</v>
      </c>
      <c r="B113" s="1" t="s">
        <v>243</v>
      </c>
      <c r="C113" s="18">
        <v>117552.0</v>
      </c>
      <c r="D113" s="18">
        <v>115572.0</v>
      </c>
      <c r="E113" s="18">
        <v>58690.0</v>
      </c>
      <c r="F113" s="18">
        <v>42362.0</v>
      </c>
      <c r="G113" s="8">
        <v>0.3665</v>
      </c>
      <c r="H113" s="1">
        <v>419.0</v>
      </c>
      <c r="I113" s="8">
        <v>0.0099</v>
      </c>
      <c r="J113" s="3">
        <v>193.0</v>
      </c>
      <c r="K113" s="9">
        <v>0.0046</v>
      </c>
      <c r="L113" s="1">
        <v>232.0</v>
      </c>
      <c r="M113" s="8">
        <v>0.002</v>
      </c>
      <c r="N113" s="1">
        <v>0.0</v>
      </c>
      <c r="O113" s="8">
        <v>0.0</v>
      </c>
      <c r="P113" s="1">
        <v>206.0</v>
      </c>
      <c r="Q113" s="1">
        <v>6.0</v>
      </c>
      <c r="R113" s="8">
        <v>0.0291</v>
      </c>
      <c r="S113" s="1" t="s">
        <v>244</v>
      </c>
      <c r="T113" s="1" t="s">
        <v>23</v>
      </c>
      <c r="U113" s="11">
        <f t="shared" si="1"/>
        <v>98.31563904</v>
      </c>
      <c r="V113" s="12"/>
      <c r="W113" s="12"/>
      <c r="X113" s="12"/>
      <c r="Y113" s="6"/>
      <c r="Z113" s="5"/>
    </row>
    <row r="114">
      <c r="A114" s="14">
        <v>45960.0</v>
      </c>
      <c r="B114" s="1" t="s">
        <v>245</v>
      </c>
      <c r="C114" s="18">
        <v>116297.0</v>
      </c>
      <c r="D114" s="18">
        <v>115090.0</v>
      </c>
      <c r="E114" s="18">
        <v>61284.0</v>
      </c>
      <c r="F114" s="18">
        <v>44623.0</v>
      </c>
      <c r="G114" s="8">
        <v>0.3877</v>
      </c>
      <c r="H114" s="1">
        <v>503.0</v>
      </c>
      <c r="I114" s="8">
        <v>0.0113</v>
      </c>
      <c r="J114" s="3">
        <v>259.0</v>
      </c>
      <c r="K114" s="9">
        <v>0.0058</v>
      </c>
      <c r="L114" s="1">
        <v>184.0</v>
      </c>
      <c r="M114" s="8">
        <v>0.0016</v>
      </c>
      <c r="N114" s="1">
        <v>0.0</v>
      </c>
      <c r="O114" s="8">
        <v>0.0</v>
      </c>
      <c r="P114" s="1">
        <v>86.0</v>
      </c>
      <c r="Q114" s="1">
        <v>2.0</v>
      </c>
      <c r="R114" s="8">
        <v>0.0233</v>
      </c>
      <c r="S114" s="1" t="s">
        <v>246</v>
      </c>
      <c r="T114" s="1" t="s">
        <v>23</v>
      </c>
      <c r="U114" s="11">
        <f t="shared" si="1"/>
        <v>98.96214004</v>
      </c>
      <c r="V114" s="12"/>
      <c r="W114" s="12"/>
      <c r="X114" s="12"/>
      <c r="Y114" s="6"/>
      <c r="Z114" s="5"/>
    </row>
    <row r="115">
      <c r="A115" s="14">
        <v>45961.0</v>
      </c>
      <c r="B115" s="1" t="s">
        <v>247</v>
      </c>
      <c r="C115" s="18">
        <v>115788.0</v>
      </c>
      <c r="D115" s="18">
        <v>113811.0</v>
      </c>
      <c r="E115" s="18">
        <v>57026.0</v>
      </c>
      <c r="F115" s="18">
        <v>41680.0</v>
      </c>
      <c r="G115" s="8">
        <v>0.3662</v>
      </c>
      <c r="H115" s="1">
        <v>431.0</v>
      </c>
      <c r="I115" s="8">
        <v>0.0103</v>
      </c>
      <c r="J115" s="3">
        <v>189.0</v>
      </c>
      <c r="K115" s="9">
        <v>0.0045</v>
      </c>
      <c r="L115" s="1">
        <v>248.0</v>
      </c>
      <c r="M115" s="8">
        <v>0.0022</v>
      </c>
      <c r="N115" s="1">
        <v>0.0</v>
      </c>
      <c r="O115" s="8">
        <v>0.0</v>
      </c>
      <c r="P115" s="1">
        <v>92.0</v>
      </c>
      <c r="Q115" s="1">
        <v>1.0</v>
      </c>
      <c r="R115" s="8">
        <v>0.0109</v>
      </c>
      <c r="S115" s="1" t="s">
        <v>248</v>
      </c>
      <c r="T115" s="1" t="s">
        <v>23</v>
      </c>
      <c r="U115" s="11">
        <f t="shared" si="1"/>
        <v>98.29256918</v>
      </c>
      <c r="V115" s="12"/>
      <c r="W115" s="12"/>
      <c r="X115" s="12"/>
      <c r="Y115" s="6"/>
      <c r="Z115" s="5"/>
    </row>
    <row r="116">
      <c r="A116" s="14">
        <v>45964.0</v>
      </c>
      <c r="B116" s="1" t="s">
        <v>249</v>
      </c>
      <c r="C116" s="18">
        <v>111366.0</v>
      </c>
      <c r="D116" s="18">
        <v>109594.0</v>
      </c>
      <c r="E116" s="18">
        <v>44262.0</v>
      </c>
      <c r="F116" s="18">
        <v>31120.0</v>
      </c>
      <c r="G116" s="8">
        <v>0.284</v>
      </c>
      <c r="H116" s="18">
        <v>1246.0</v>
      </c>
      <c r="I116" s="15">
        <v>0.04</v>
      </c>
      <c r="J116" s="3">
        <v>142.0</v>
      </c>
      <c r="K116" s="9">
        <v>0.0046</v>
      </c>
      <c r="L116" s="1">
        <v>140.0</v>
      </c>
      <c r="M116" s="8">
        <v>0.0013</v>
      </c>
      <c r="N116" s="1">
        <v>0.0</v>
      </c>
      <c r="O116" s="8">
        <v>0.0</v>
      </c>
      <c r="P116" s="1">
        <v>96.0</v>
      </c>
      <c r="Q116" s="1">
        <v>1.0</v>
      </c>
      <c r="R116" s="8">
        <v>0.0104</v>
      </c>
      <c r="S116" s="1" t="s">
        <v>250</v>
      </c>
      <c r="T116" s="1" t="s">
        <v>23</v>
      </c>
      <c r="U116" s="11">
        <f t="shared" si="1"/>
        <v>98.4088501</v>
      </c>
      <c r="V116" s="12"/>
      <c r="W116" s="12"/>
      <c r="X116" s="12"/>
      <c r="Y116" s="6"/>
      <c r="Z116" s="5"/>
    </row>
    <row r="117">
      <c r="A117" s="14">
        <v>45965.0</v>
      </c>
      <c r="B117" s="1" t="s">
        <v>251</v>
      </c>
      <c r="C117" s="18">
        <v>119043.0</v>
      </c>
      <c r="D117" s="18">
        <v>117918.0</v>
      </c>
      <c r="E117" s="18">
        <v>45842.0</v>
      </c>
      <c r="F117" s="18">
        <v>34118.0</v>
      </c>
      <c r="G117" s="8">
        <v>0.2893</v>
      </c>
      <c r="H117" s="1">
        <v>980.0</v>
      </c>
      <c r="I117" s="8">
        <v>0.0287</v>
      </c>
      <c r="J117" s="3">
        <v>218.0</v>
      </c>
      <c r="K117" s="9">
        <v>0.0064</v>
      </c>
      <c r="L117" s="1">
        <v>270.0</v>
      </c>
      <c r="M117" s="8">
        <v>0.0023</v>
      </c>
      <c r="N117" s="1">
        <v>1.0</v>
      </c>
      <c r="O117" s="8">
        <v>7.1E-4</v>
      </c>
      <c r="P117" s="1">
        <v>46.0</v>
      </c>
      <c r="Q117" s="1">
        <v>1.0</v>
      </c>
      <c r="R117" s="8">
        <v>0.0217</v>
      </c>
      <c r="S117" s="1" t="s">
        <v>252</v>
      </c>
      <c r="T117" s="1" t="s">
        <v>23</v>
      </c>
      <c r="U117" s="11">
        <f t="shared" si="1"/>
        <v>99.05496333</v>
      </c>
      <c r="V117" s="12"/>
      <c r="W117" s="12"/>
      <c r="X117" s="12"/>
      <c r="Y117" s="6"/>
      <c r="Z117" s="5"/>
    </row>
    <row r="118">
      <c r="A118" s="14">
        <v>45966.0</v>
      </c>
      <c r="B118" s="1" t="s">
        <v>253</v>
      </c>
      <c r="C118" s="18">
        <v>117662.0</v>
      </c>
      <c r="D118" s="18">
        <v>115651.0</v>
      </c>
      <c r="E118" s="18">
        <v>55026.0</v>
      </c>
      <c r="F118" s="18">
        <v>40562.0</v>
      </c>
      <c r="G118" s="8">
        <v>0.3507</v>
      </c>
      <c r="H118" s="1">
        <v>665.0</v>
      </c>
      <c r="I118" s="8">
        <v>0.0164</v>
      </c>
      <c r="J118" s="3">
        <v>211.0</v>
      </c>
      <c r="K118" s="9">
        <v>0.0052</v>
      </c>
      <c r="L118" s="1">
        <v>207.0</v>
      </c>
      <c r="M118" s="8">
        <v>0.0018</v>
      </c>
      <c r="N118" s="1">
        <v>0.0</v>
      </c>
      <c r="O118" s="8">
        <v>0.0</v>
      </c>
      <c r="P118" s="1">
        <v>85.0</v>
      </c>
      <c r="Q118" s="1">
        <v>2.0</v>
      </c>
      <c r="R118" s="8">
        <v>0.0235</v>
      </c>
      <c r="S118" s="1" t="s">
        <v>254</v>
      </c>
      <c r="T118" s="1" t="s">
        <v>23</v>
      </c>
      <c r="U118" s="11">
        <f t="shared" si="1"/>
        <v>98.29086706</v>
      </c>
      <c r="V118" s="12"/>
      <c r="W118" s="12"/>
      <c r="X118" s="12"/>
      <c r="Y118" s="6"/>
      <c r="Z118" s="5"/>
    </row>
    <row r="119">
      <c r="A119" s="14">
        <v>45967.0</v>
      </c>
      <c r="B119" s="1" t="s">
        <v>255</v>
      </c>
      <c r="C119" s="18">
        <v>108243.0</v>
      </c>
      <c r="D119" s="18">
        <v>107162.0</v>
      </c>
      <c r="E119" s="18">
        <v>46542.0</v>
      </c>
      <c r="F119" s="18">
        <v>33231.0</v>
      </c>
      <c r="G119" s="8">
        <v>0.3101</v>
      </c>
      <c r="H119" s="1">
        <v>531.0</v>
      </c>
      <c r="I119" s="8">
        <v>0.016</v>
      </c>
      <c r="J119" s="3">
        <v>175.0</v>
      </c>
      <c r="K119" s="9">
        <v>0.0053</v>
      </c>
      <c r="L119" s="1">
        <v>196.0</v>
      </c>
      <c r="M119" s="8">
        <v>0.0018</v>
      </c>
      <c r="N119" s="1">
        <v>0.0</v>
      </c>
      <c r="O119" s="8">
        <v>0.0</v>
      </c>
      <c r="P119" s="1">
        <v>84.0</v>
      </c>
      <c r="Q119" s="1">
        <v>2.0</v>
      </c>
      <c r="R119" s="8">
        <v>0.0238</v>
      </c>
      <c r="S119" s="1" t="s">
        <v>256</v>
      </c>
      <c r="T119" s="1" t="s">
        <v>23</v>
      </c>
      <c r="U119" s="11">
        <f t="shared" si="1"/>
        <v>99.0013211</v>
      </c>
      <c r="V119" s="12"/>
      <c r="W119" s="12"/>
      <c r="X119" s="12"/>
      <c r="Y119" s="6"/>
      <c r="Z119" s="5"/>
    </row>
    <row r="120">
      <c r="A120" s="14">
        <v>45967.0</v>
      </c>
      <c r="B120" s="1" t="s">
        <v>239</v>
      </c>
      <c r="C120" s="1">
        <v>0.0</v>
      </c>
      <c r="D120" s="1">
        <v>0.0</v>
      </c>
      <c r="E120" s="1">
        <v>0.0</v>
      </c>
      <c r="F120" s="1">
        <v>0.0</v>
      </c>
      <c r="G120" s="13"/>
      <c r="H120" s="1">
        <v>0.0</v>
      </c>
      <c r="I120" s="10"/>
      <c r="J120" s="3">
        <v>0.0</v>
      </c>
      <c r="K120" s="17"/>
      <c r="L120" s="1">
        <v>0.0</v>
      </c>
      <c r="M120" s="10"/>
      <c r="N120" s="1">
        <v>0.0</v>
      </c>
      <c r="O120" s="10"/>
      <c r="P120" s="1">
        <v>3.0</v>
      </c>
      <c r="Q120" s="1">
        <v>0.0</v>
      </c>
      <c r="R120" s="8">
        <v>0.0</v>
      </c>
      <c r="S120" s="1" t="s">
        <v>257</v>
      </c>
      <c r="T120" s="1" t="s">
        <v>23</v>
      </c>
      <c r="U120" s="11" t="str">
        <f t="shared" si="1"/>
        <v>#DIV/0!</v>
      </c>
      <c r="V120" s="12"/>
      <c r="W120" s="12"/>
      <c r="X120" s="12"/>
      <c r="Y120" s="6"/>
      <c r="Z120" s="5"/>
    </row>
    <row r="121">
      <c r="A121" s="14">
        <v>45968.0</v>
      </c>
      <c r="B121" s="1" t="s">
        <v>258</v>
      </c>
      <c r="C121" s="18">
        <v>107253.0</v>
      </c>
      <c r="D121" s="18">
        <v>106182.0</v>
      </c>
      <c r="E121" s="18">
        <v>48139.0</v>
      </c>
      <c r="F121" s="18">
        <v>34686.0</v>
      </c>
      <c r="G121" s="8">
        <v>0.3267</v>
      </c>
      <c r="H121" s="1">
        <v>621.0</v>
      </c>
      <c r="I121" s="8">
        <v>0.0179</v>
      </c>
      <c r="J121" s="3">
        <v>173.0</v>
      </c>
      <c r="K121" s="9">
        <v>0.005</v>
      </c>
      <c r="L121" s="1">
        <v>182.0</v>
      </c>
      <c r="M121" s="8">
        <v>0.0017</v>
      </c>
      <c r="N121" s="1">
        <v>0.0</v>
      </c>
      <c r="O121" s="8">
        <v>0.0</v>
      </c>
      <c r="P121" s="1">
        <v>116.0</v>
      </c>
      <c r="Q121" s="1">
        <v>1.0</v>
      </c>
      <c r="R121" s="8">
        <v>0.0086</v>
      </c>
      <c r="S121" s="1" t="s">
        <v>259</v>
      </c>
      <c r="T121" s="1" t="s">
        <v>23</v>
      </c>
      <c r="U121" s="11">
        <f t="shared" si="1"/>
        <v>99.00142653</v>
      </c>
      <c r="V121" s="12"/>
      <c r="W121" s="12"/>
      <c r="X121" s="12"/>
      <c r="Y121" s="6"/>
      <c r="Z121" s="5"/>
    </row>
    <row r="122">
      <c r="A122" s="14">
        <v>45971.0</v>
      </c>
      <c r="B122" s="1" t="s">
        <v>260</v>
      </c>
      <c r="C122" s="18">
        <v>104964.0</v>
      </c>
      <c r="D122" s="18">
        <v>103941.0</v>
      </c>
      <c r="E122" s="18">
        <v>86608.0</v>
      </c>
      <c r="F122" s="18">
        <v>70451.0</v>
      </c>
      <c r="G122" s="8">
        <v>0.6778</v>
      </c>
      <c r="H122" s="18">
        <v>1515.0</v>
      </c>
      <c r="I122" s="8">
        <v>0.0215</v>
      </c>
      <c r="J122" s="3">
        <v>139.0</v>
      </c>
      <c r="K122" s="9">
        <v>0.002</v>
      </c>
      <c r="L122" s="1">
        <v>142.0</v>
      </c>
      <c r="M122" s="8">
        <v>0.0014</v>
      </c>
      <c r="N122" s="1">
        <v>0.0</v>
      </c>
      <c r="O122" s="8">
        <v>0.0</v>
      </c>
      <c r="P122" s="1">
        <v>100.0</v>
      </c>
      <c r="Q122" s="1">
        <v>2.0</v>
      </c>
      <c r="R122" s="8">
        <v>0.02</v>
      </c>
      <c r="S122" s="1" t="s">
        <v>261</v>
      </c>
      <c r="T122" s="1" t="s">
        <v>23</v>
      </c>
      <c r="U122" s="11">
        <f t="shared" si="1"/>
        <v>99.02538013</v>
      </c>
      <c r="V122" s="12"/>
      <c r="W122" s="12"/>
      <c r="X122" s="12"/>
      <c r="Y122" s="6"/>
      <c r="Z122" s="5"/>
    </row>
    <row r="123">
      <c r="A123" s="14">
        <v>45972.0</v>
      </c>
      <c r="B123" s="1" t="s">
        <v>262</v>
      </c>
      <c r="C123" s="18">
        <v>113919.0</v>
      </c>
      <c r="D123" s="18">
        <v>112032.0</v>
      </c>
      <c r="E123" s="18">
        <v>37426.0</v>
      </c>
      <c r="F123" s="18">
        <v>27324.0</v>
      </c>
      <c r="G123" s="8">
        <v>0.2439</v>
      </c>
      <c r="H123" s="1">
        <v>403.0</v>
      </c>
      <c r="I123" s="8">
        <v>0.0147</v>
      </c>
      <c r="J123" s="3">
        <v>144.0</v>
      </c>
      <c r="K123" s="9">
        <v>0.0053</v>
      </c>
      <c r="L123" s="1">
        <v>212.0</v>
      </c>
      <c r="M123" s="8">
        <v>0.0019</v>
      </c>
      <c r="N123" s="1">
        <v>0.0</v>
      </c>
      <c r="O123" s="8">
        <v>0.0</v>
      </c>
      <c r="P123" s="1">
        <v>95.0</v>
      </c>
      <c r="Q123" s="1">
        <v>0.0</v>
      </c>
      <c r="R123" s="8">
        <v>0.0</v>
      </c>
      <c r="S123" s="1" t="s">
        <v>263</v>
      </c>
      <c r="T123" s="1" t="s">
        <v>23</v>
      </c>
      <c r="U123" s="11">
        <f t="shared" si="1"/>
        <v>98.3435599</v>
      </c>
      <c r="V123" s="12"/>
      <c r="W123" s="12"/>
      <c r="X123" s="12"/>
      <c r="Y123" s="6"/>
      <c r="Z123" s="5"/>
    </row>
    <row r="124">
      <c r="A124" s="14">
        <v>45973.0</v>
      </c>
      <c r="B124" s="1" t="s">
        <v>264</v>
      </c>
      <c r="C124" s="18">
        <v>123425.0</v>
      </c>
      <c r="D124" s="18">
        <v>121743.0</v>
      </c>
      <c r="E124" s="18">
        <v>46577.0</v>
      </c>
      <c r="F124" s="18">
        <v>33799.0</v>
      </c>
      <c r="G124" s="8">
        <v>0.2776</v>
      </c>
      <c r="H124" s="1">
        <v>747.0</v>
      </c>
      <c r="I124" s="8">
        <v>0.0221</v>
      </c>
      <c r="J124" s="3">
        <v>235.0</v>
      </c>
      <c r="K124" s="9">
        <v>0.007</v>
      </c>
      <c r="L124" s="1">
        <v>254.0</v>
      </c>
      <c r="M124" s="8">
        <v>0.0021</v>
      </c>
      <c r="N124" s="1">
        <v>0.0</v>
      </c>
      <c r="O124" s="8">
        <v>0.0</v>
      </c>
      <c r="P124" s="1">
        <v>121.0</v>
      </c>
      <c r="Q124" s="1">
        <v>1.0</v>
      </c>
      <c r="R124" s="8">
        <v>0.0083</v>
      </c>
      <c r="S124" s="1" t="s">
        <v>265</v>
      </c>
      <c r="T124" s="1" t="s">
        <v>23</v>
      </c>
      <c r="U124" s="11">
        <f t="shared" si="1"/>
        <v>98.63722909</v>
      </c>
      <c r="V124" s="12"/>
      <c r="W124" s="12"/>
      <c r="X124" s="12"/>
      <c r="Y124" s="6"/>
      <c r="Z124" s="5"/>
    </row>
    <row r="125">
      <c r="A125" s="14">
        <v>45974.0</v>
      </c>
      <c r="B125" s="1" t="s">
        <v>266</v>
      </c>
      <c r="C125" s="18">
        <v>124610.0</v>
      </c>
      <c r="D125" s="18">
        <v>120898.0</v>
      </c>
      <c r="E125" s="18">
        <v>41816.0</v>
      </c>
      <c r="F125" s="18">
        <v>29861.0</v>
      </c>
      <c r="G125" s="8">
        <v>0.247</v>
      </c>
      <c r="H125" s="1">
        <v>417.0</v>
      </c>
      <c r="I125" s="8">
        <v>0.014</v>
      </c>
      <c r="J125" s="3">
        <v>236.0</v>
      </c>
      <c r="K125" s="9">
        <v>0.0079</v>
      </c>
      <c r="L125" s="1">
        <v>374.0</v>
      </c>
      <c r="M125" s="8">
        <v>0.0031</v>
      </c>
      <c r="N125" s="1">
        <v>0.0</v>
      </c>
      <c r="O125" s="8">
        <v>0.0</v>
      </c>
      <c r="P125" s="1">
        <v>152.0</v>
      </c>
      <c r="Q125" s="1">
        <v>1.0</v>
      </c>
      <c r="R125" s="8">
        <v>0.0066</v>
      </c>
      <c r="S125" s="1" t="s">
        <v>267</v>
      </c>
      <c r="T125" s="1" t="s">
        <v>23</v>
      </c>
      <c r="U125" s="11">
        <f t="shared" si="1"/>
        <v>97.02110585</v>
      </c>
      <c r="V125" s="12"/>
      <c r="W125" s="12"/>
      <c r="X125" s="12"/>
      <c r="Y125" s="6"/>
      <c r="Z125" s="5"/>
    </row>
    <row r="126">
      <c r="A126" s="14">
        <v>45975.0</v>
      </c>
      <c r="B126" s="1" t="s">
        <v>268</v>
      </c>
      <c r="C126" s="18">
        <v>115628.0</v>
      </c>
      <c r="D126" s="18">
        <v>113608.0</v>
      </c>
      <c r="E126" s="18">
        <v>116136.0</v>
      </c>
      <c r="F126" s="18">
        <v>96068.0</v>
      </c>
      <c r="G126" s="8">
        <v>0.8456</v>
      </c>
      <c r="H126" s="1">
        <v>774.0</v>
      </c>
      <c r="I126" s="8">
        <v>0.0081</v>
      </c>
      <c r="J126" s="3">
        <v>260.0</v>
      </c>
      <c r="K126" s="9">
        <v>0.0027</v>
      </c>
      <c r="L126" s="1">
        <v>339.0</v>
      </c>
      <c r="M126" s="8">
        <v>0.003</v>
      </c>
      <c r="N126" s="1">
        <v>0.0</v>
      </c>
      <c r="O126" s="8">
        <v>0.0</v>
      </c>
      <c r="P126" s="1">
        <v>147.0</v>
      </c>
      <c r="Q126" s="1">
        <v>7.0</v>
      </c>
      <c r="R126" s="8">
        <v>0.0476</v>
      </c>
      <c r="S126" s="1" t="s">
        <v>269</v>
      </c>
      <c r="T126" s="1" t="s">
        <v>23</v>
      </c>
      <c r="U126" s="11">
        <f t="shared" si="1"/>
        <v>98.2530183</v>
      </c>
      <c r="V126" s="12"/>
      <c r="W126" s="12"/>
      <c r="X126" s="12"/>
      <c r="Y126" s="6"/>
      <c r="Z126" s="5"/>
    </row>
    <row r="127">
      <c r="A127" s="14">
        <v>45978.0</v>
      </c>
      <c r="B127" s="1" t="s">
        <v>270</v>
      </c>
      <c r="C127" s="18">
        <v>125231.0</v>
      </c>
      <c r="D127" s="18">
        <v>123275.0</v>
      </c>
      <c r="E127" s="18">
        <v>78807.0</v>
      </c>
      <c r="F127" s="18">
        <v>62056.0</v>
      </c>
      <c r="G127" s="8">
        <v>0.5034</v>
      </c>
      <c r="H127" s="18">
        <v>1025.0</v>
      </c>
      <c r="I127" s="8">
        <v>0.0165</v>
      </c>
      <c r="J127" s="3">
        <v>312.0</v>
      </c>
      <c r="K127" s="9">
        <v>0.005</v>
      </c>
      <c r="L127" s="1">
        <v>469.0</v>
      </c>
      <c r="M127" s="8">
        <v>0.0038</v>
      </c>
      <c r="N127" s="1">
        <v>0.0</v>
      </c>
      <c r="O127" s="8">
        <v>0.0</v>
      </c>
      <c r="P127" s="1">
        <v>336.0</v>
      </c>
      <c r="Q127" s="1">
        <v>3.0</v>
      </c>
      <c r="R127" s="8">
        <v>0.0089</v>
      </c>
      <c r="S127" s="1" t="s">
        <v>271</v>
      </c>
      <c r="T127" s="1" t="s">
        <v>23</v>
      </c>
      <c r="U127" s="11">
        <f t="shared" si="1"/>
        <v>98.43808642</v>
      </c>
      <c r="V127" s="12"/>
      <c r="W127" s="12"/>
      <c r="X127" s="12"/>
      <c r="Y127" s="6"/>
      <c r="Z127" s="5"/>
    </row>
    <row r="128">
      <c r="A128" s="14">
        <v>45979.0</v>
      </c>
      <c r="B128" s="1" t="s">
        <v>272</v>
      </c>
      <c r="C128" s="18">
        <v>132978.0</v>
      </c>
      <c r="D128" s="18">
        <v>131761.0</v>
      </c>
      <c r="E128" s="18">
        <v>117813.0</v>
      </c>
      <c r="F128" s="18">
        <v>96884.0</v>
      </c>
      <c r="G128" s="8">
        <v>0.7353</v>
      </c>
      <c r="H128" s="1">
        <v>794.0</v>
      </c>
      <c r="I128" s="8">
        <v>0.0082</v>
      </c>
      <c r="J128" s="3">
        <v>237.0</v>
      </c>
      <c r="K128" s="9">
        <v>0.0024</v>
      </c>
      <c r="L128" s="1">
        <v>389.0</v>
      </c>
      <c r="M128" s="8">
        <v>0.003</v>
      </c>
      <c r="N128" s="1">
        <v>0.0</v>
      </c>
      <c r="O128" s="8">
        <v>0.0</v>
      </c>
      <c r="P128" s="1">
        <v>908.0</v>
      </c>
      <c r="Q128" s="1">
        <v>2.0</v>
      </c>
      <c r="R128" s="8">
        <v>0.0022</v>
      </c>
      <c r="S128" s="1" t="s">
        <v>273</v>
      </c>
      <c r="T128" s="1" t="s">
        <v>23</v>
      </c>
      <c r="U128" s="11">
        <f t="shared" si="1"/>
        <v>99.08481102</v>
      </c>
      <c r="V128" s="12"/>
      <c r="W128" s="12"/>
      <c r="X128" s="12"/>
      <c r="Y128" s="6"/>
      <c r="Z128" s="5"/>
    </row>
    <row r="129">
      <c r="A129" s="14">
        <v>45980.0</v>
      </c>
      <c r="B129" s="1" t="s">
        <v>274</v>
      </c>
      <c r="C129" s="18">
        <v>133345.0</v>
      </c>
      <c r="D129" s="18">
        <v>132200.0</v>
      </c>
      <c r="E129" s="18">
        <v>93754.0</v>
      </c>
      <c r="F129" s="18">
        <v>74990.0</v>
      </c>
      <c r="G129" s="8">
        <v>0.5672</v>
      </c>
      <c r="H129" s="18">
        <v>1352.0</v>
      </c>
      <c r="I129" s="8">
        <v>0.018</v>
      </c>
      <c r="J129" s="3">
        <v>397.0</v>
      </c>
      <c r="K129" s="9">
        <v>0.0053</v>
      </c>
      <c r="L129" s="1">
        <v>561.0</v>
      </c>
      <c r="M129" s="8">
        <v>0.0042</v>
      </c>
      <c r="N129" s="1">
        <v>0.0</v>
      </c>
      <c r="O129" s="8">
        <v>0.0</v>
      </c>
      <c r="P129" s="1">
        <v>604.0</v>
      </c>
      <c r="Q129" s="1">
        <v>1.0</v>
      </c>
      <c r="R129" s="8">
        <v>0.0017</v>
      </c>
      <c r="S129" s="1" t="s">
        <v>275</v>
      </c>
      <c r="T129" s="1" t="s">
        <v>23</v>
      </c>
      <c r="U129" s="11">
        <f t="shared" si="1"/>
        <v>99.14132513</v>
      </c>
      <c r="V129" s="12"/>
      <c r="W129" s="12"/>
      <c r="X129" s="12"/>
      <c r="Y129" s="6"/>
      <c r="Z129" s="5"/>
    </row>
    <row r="130">
      <c r="A130" s="14">
        <v>45981.0</v>
      </c>
      <c r="B130" s="1" t="s">
        <v>276</v>
      </c>
      <c r="C130" s="18">
        <v>138847.0</v>
      </c>
      <c r="D130" s="18">
        <v>136026.0</v>
      </c>
      <c r="E130" s="18">
        <v>80725.0</v>
      </c>
      <c r="F130" s="18">
        <v>63231.0</v>
      </c>
      <c r="G130" s="8">
        <v>0.4648</v>
      </c>
      <c r="H130" s="1">
        <v>888.0</v>
      </c>
      <c r="I130" s="8">
        <v>0.014</v>
      </c>
      <c r="J130" s="3">
        <v>226.0</v>
      </c>
      <c r="K130" s="9">
        <v>0.0036</v>
      </c>
      <c r="L130" s="1">
        <v>342.0</v>
      </c>
      <c r="M130" s="8">
        <v>0.0025</v>
      </c>
      <c r="N130" s="1">
        <v>8.0</v>
      </c>
      <c r="O130" s="8">
        <v>0.00609</v>
      </c>
      <c r="P130" s="1">
        <v>440.0</v>
      </c>
      <c r="Q130" s="1">
        <v>2.0</v>
      </c>
      <c r="R130" s="8">
        <v>0.0045</v>
      </c>
      <c r="S130" s="1" t="s">
        <v>277</v>
      </c>
      <c r="T130" s="1" t="s">
        <v>23</v>
      </c>
      <c r="U130" s="11">
        <f t="shared" si="1"/>
        <v>97.96826723</v>
      </c>
      <c r="V130" s="12"/>
      <c r="W130" s="12"/>
      <c r="X130" s="12"/>
      <c r="Y130" s="6"/>
      <c r="Z130" s="5"/>
    </row>
    <row r="131">
      <c r="A131" s="14">
        <v>45982.0</v>
      </c>
      <c r="B131" s="1" t="s">
        <v>278</v>
      </c>
      <c r="C131" s="18">
        <v>143580.0</v>
      </c>
      <c r="D131" s="18">
        <v>140708.0</v>
      </c>
      <c r="E131" s="18">
        <v>88489.0</v>
      </c>
      <c r="F131" s="18">
        <v>68843.0</v>
      </c>
      <c r="G131" s="8">
        <v>0.4893</v>
      </c>
      <c r="H131" s="1">
        <v>689.0</v>
      </c>
      <c r="I131" s="15">
        <v>0.01</v>
      </c>
      <c r="J131" s="3">
        <v>326.0</v>
      </c>
      <c r="K131" s="9">
        <v>0.0047</v>
      </c>
      <c r="L131" s="1">
        <v>438.0</v>
      </c>
      <c r="M131" s="8">
        <v>0.0031</v>
      </c>
      <c r="N131" s="1">
        <v>9.0</v>
      </c>
      <c r="O131" s="8">
        <v>0.00644</v>
      </c>
      <c r="P131" s="1">
        <v>692.0</v>
      </c>
      <c r="Q131" s="1">
        <v>3.0</v>
      </c>
      <c r="R131" s="8">
        <v>0.0043</v>
      </c>
      <c r="S131" s="1" t="s">
        <v>279</v>
      </c>
      <c r="T131" s="1" t="s">
        <v>23</v>
      </c>
      <c r="U131" s="11">
        <f t="shared" si="1"/>
        <v>97.99972141</v>
      </c>
      <c r="V131" s="12"/>
      <c r="W131" s="12"/>
      <c r="X131" s="12"/>
      <c r="Y131" s="6"/>
      <c r="Z131" s="5"/>
    </row>
    <row r="132">
      <c r="A132" s="14">
        <v>45985.0</v>
      </c>
      <c r="B132" s="1" t="s">
        <v>280</v>
      </c>
      <c r="C132" s="18">
        <v>135721.0</v>
      </c>
      <c r="D132" s="18">
        <v>133291.0</v>
      </c>
      <c r="E132" s="18">
        <v>81871.0</v>
      </c>
      <c r="F132" s="18">
        <v>65643.0</v>
      </c>
      <c r="G132" s="8">
        <v>0.4925</v>
      </c>
      <c r="H132" s="18">
        <v>1184.0</v>
      </c>
      <c r="I132" s="8">
        <v>0.018</v>
      </c>
      <c r="J132" s="3">
        <v>191.0</v>
      </c>
      <c r="K132" s="9">
        <v>0.0029</v>
      </c>
      <c r="L132" s="1">
        <v>286.0</v>
      </c>
      <c r="M132" s="8">
        <v>0.0021</v>
      </c>
      <c r="N132" s="1">
        <v>5.0</v>
      </c>
      <c r="O132" s="8">
        <v>0.00406</v>
      </c>
      <c r="P132" s="1">
        <v>91.0</v>
      </c>
      <c r="Q132" s="1">
        <v>2.0</v>
      </c>
      <c r="R132" s="8">
        <v>0.022</v>
      </c>
      <c r="S132" s="1" t="s">
        <v>281</v>
      </c>
      <c r="T132" s="1" t="s">
        <v>23</v>
      </c>
      <c r="U132" s="11">
        <f t="shared" si="1"/>
        <v>98.20956226</v>
      </c>
      <c r="V132" s="12"/>
      <c r="W132" s="12"/>
      <c r="X132" s="12"/>
      <c r="Y132" s="6"/>
      <c r="Z132" s="5"/>
    </row>
    <row r="133">
      <c r="A133" s="14">
        <v>45986.0</v>
      </c>
      <c r="B133" s="1" t="s">
        <v>282</v>
      </c>
      <c r="C133" s="18">
        <v>143132.0</v>
      </c>
      <c r="D133" s="18">
        <v>141941.0</v>
      </c>
      <c r="E133" s="18">
        <v>73955.0</v>
      </c>
      <c r="F133" s="18">
        <v>55159.0</v>
      </c>
      <c r="G133" s="8">
        <v>0.3886</v>
      </c>
      <c r="H133" s="1">
        <v>812.0</v>
      </c>
      <c r="I133" s="8">
        <v>0.0147</v>
      </c>
      <c r="J133" s="3">
        <v>299.0</v>
      </c>
      <c r="K133" s="9">
        <v>0.0054</v>
      </c>
      <c r="L133" s="1">
        <v>425.0</v>
      </c>
      <c r="M133" s="8">
        <v>0.003</v>
      </c>
      <c r="N133" s="1">
        <v>1.0</v>
      </c>
      <c r="O133" s="8">
        <v>8.6E-4</v>
      </c>
      <c r="P133" s="1">
        <v>140.0</v>
      </c>
      <c r="Q133" s="1">
        <v>1.0</v>
      </c>
      <c r="R133" s="8">
        <v>0.0071</v>
      </c>
      <c r="S133" s="1" t="s">
        <v>283</v>
      </c>
      <c r="T133" s="1" t="s">
        <v>23</v>
      </c>
      <c r="U133" s="11">
        <f t="shared" si="1"/>
        <v>99.16790096</v>
      </c>
      <c r="V133" s="12"/>
      <c r="W133" s="12"/>
      <c r="X133" s="12"/>
      <c r="Y133" s="6"/>
      <c r="Z133" s="5"/>
    </row>
    <row r="134">
      <c r="A134" s="14">
        <v>45987.0</v>
      </c>
      <c r="B134" s="1" t="s">
        <v>284</v>
      </c>
      <c r="C134" s="18">
        <v>153190.0</v>
      </c>
      <c r="D134" s="18">
        <v>151138.0</v>
      </c>
      <c r="E134" s="18">
        <v>142226.0</v>
      </c>
      <c r="F134" s="18">
        <v>120764.0</v>
      </c>
      <c r="G134" s="8">
        <v>0.799</v>
      </c>
      <c r="H134" s="18">
        <v>1102.0</v>
      </c>
      <c r="I134" s="8">
        <v>0.0091</v>
      </c>
      <c r="J134" s="3">
        <v>265.0</v>
      </c>
      <c r="K134" s="9">
        <v>0.0022</v>
      </c>
      <c r="L134" s="1">
        <v>433.0</v>
      </c>
      <c r="M134" s="8">
        <v>0.0029</v>
      </c>
      <c r="N134" s="1">
        <v>5.0</v>
      </c>
      <c r="O134" s="8">
        <v>0.00388</v>
      </c>
      <c r="P134" s="1">
        <v>148.0</v>
      </c>
      <c r="Q134" s="1">
        <v>1.0</v>
      </c>
      <c r="R134" s="8">
        <v>0.0068</v>
      </c>
      <c r="S134" s="1" t="s">
        <v>285</v>
      </c>
      <c r="T134" s="1" t="s">
        <v>23</v>
      </c>
      <c r="U134" s="11">
        <f t="shared" si="1"/>
        <v>98.66048698</v>
      </c>
      <c r="V134" s="12"/>
      <c r="W134" s="12"/>
      <c r="X134" s="12"/>
      <c r="Y134" s="6"/>
      <c r="Z134" s="5"/>
    </row>
    <row r="135">
      <c r="A135" s="14">
        <v>45988.0</v>
      </c>
      <c r="B135" s="1" t="s">
        <v>286</v>
      </c>
      <c r="C135" s="18">
        <v>154941.0</v>
      </c>
      <c r="D135" s="18">
        <v>152043.0</v>
      </c>
      <c r="E135" s="18">
        <v>79810.0</v>
      </c>
      <c r="F135" s="18">
        <v>58235.0</v>
      </c>
      <c r="G135" s="8">
        <v>0.383</v>
      </c>
      <c r="H135" s="1">
        <v>730.0</v>
      </c>
      <c r="I135" s="8">
        <v>0.0125</v>
      </c>
      <c r="J135" s="3">
        <v>348.0</v>
      </c>
      <c r="K135" s="9">
        <v>0.006</v>
      </c>
      <c r="L135" s="1">
        <v>424.0</v>
      </c>
      <c r="M135" s="8">
        <v>0.0028</v>
      </c>
      <c r="N135" s="1">
        <v>3.0</v>
      </c>
      <c r="O135" s="8">
        <v>0.00231</v>
      </c>
      <c r="P135" s="1">
        <v>126.0</v>
      </c>
      <c r="Q135" s="1">
        <v>4.0</v>
      </c>
      <c r="R135" s="8">
        <v>0.0317</v>
      </c>
      <c r="S135" s="1" t="s">
        <v>287</v>
      </c>
      <c r="T135" s="1" t="s">
        <v>23</v>
      </c>
      <c r="U135" s="11">
        <f t="shared" si="1"/>
        <v>98.12961063</v>
      </c>
      <c r="V135" s="12"/>
      <c r="W135" s="12"/>
      <c r="X135" s="12"/>
      <c r="Y135" s="6"/>
      <c r="Z135" s="5"/>
    </row>
    <row r="136">
      <c r="A136" s="14">
        <v>45989.0</v>
      </c>
      <c r="B136" s="1" t="s">
        <v>288</v>
      </c>
      <c r="C136" s="18">
        <v>157494.0</v>
      </c>
      <c r="D136" s="18">
        <v>156132.0</v>
      </c>
      <c r="E136" s="18">
        <v>104673.0</v>
      </c>
      <c r="F136" s="18">
        <v>81817.0</v>
      </c>
      <c r="G136" s="8">
        <v>0.524</v>
      </c>
      <c r="H136" s="18">
        <v>1544.0</v>
      </c>
      <c r="I136" s="8">
        <v>0.0189</v>
      </c>
      <c r="J136" s="3">
        <v>316.0</v>
      </c>
      <c r="K136" s="9">
        <v>0.0039</v>
      </c>
      <c r="L136" s="1">
        <v>504.0</v>
      </c>
      <c r="M136" s="8">
        <v>0.0032</v>
      </c>
      <c r="N136" s="1">
        <v>1.0</v>
      </c>
      <c r="O136" s="8">
        <v>8.3E-4</v>
      </c>
      <c r="P136" s="1">
        <v>89.0</v>
      </c>
      <c r="Q136" s="1">
        <v>1.0</v>
      </c>
      <c r="R136" s="8">
        <v>0.0112</v>
      </c>
      <c r="S136" s="1" t="s">
        <v>289</v>
      </c>
      <c r="T136" s="1" t="s">
        <v>23</v>
      </c>
      <c r="U136" s="11">
        <f t="shared" si="1"/>
        <v>99.13520515</v>
      </c>
      <c r="V136" s="12"/>
      <c r="W136" s="12"/>
      <c r="X136" s="12"/>
      <c r="Y136" s="6"/>
      <c r="Z136" s="5"/>
    </row>
    <row r="137">
      <c r="A137" s="14">
        <v>45992.0</v>
      </c>
      <c r="B137" s="1" t="s">
        <v>290</v>
      </c>
      <c r="C137" s="18">
        <v>149475.0</v>
      </c>
      <c r="D137" s="18">
        <v>148148.0</v>
      </c>
      <c r="E137" s="18">
        <v>57040.0</v>
      </c>
      <c r="F137" s="18">
        <v>40620.0</v>
      </c>
      <c r="G137" s="8">
        <v>0.2742</v>
      </c>
      <c r="H137" s="1">
        <v>735.0</v>
      </c>
      <c r="I137" s="8">
        <v>0.0181</v>
      </c>
      <c r="J137" s="3">
        <v>361.0</v>
      </c>
      <c r="K137" s="9">
        <v>0.0089</v>
      </c>
      <c r="L137" s="1">
        <v>502.0</v>
      </c>
      <c r="M137" s="8">
        <v>0.0034</v>
      </c>
      <c r="N137" s="1">
        <v>3.0</v>
      </c>
      <c r="O137" s="8">
        <v>0.00253</v>
      </c>
      <c r="P137" s="1">
        <v>149.0</v>
      </c>
      <c r="Q137" s="1">
        <v>4.0</v>
      </c>
      <c r="R137" s="8">
        <v>0.0268</v>
      </c>
      <c r="S137" s="1" t="s">
        <v>291</v>
      </c>
      <c r="T137" s="1" t="s">
        <v>23</v>
      </c>
      <c r="U137" s="11">
        <f t="shared" si="1"/>
        <v>99.11222612</v>
      </c>
      <c r="V137" s="12"/>
      <c r="W137" s="12"/>
      <c r="X137" s="12"/>
      <c r="Y137" s="6"/>
      <c r="Z137" s="5"/>
    </row>
    <row r="138">
      <c r="A138" s="14">
        <v>45993.0</v>
      </c>
      <c r="B138" s="1" t="s">
        <v>292</v>
      </c>
      <c r="C138" s="18">
        <v>153734.0</v>
      </c>
      <c r="D138" s="18">
        <v>150370.0</v>
      </c>
      <c r="E138" s="18">
        <v>69081.0</v>
      </c>
      <c r="F138" s="18">
        <v>53947.0</v>
      </c>
      <c r="G138" s="8">
        <v>0.3588</v>
      </c>
      <c r="H138" s="18">
        <v>1852.0</v>
      </c>
      <c r="I138" s="8">
        <v>0.0343</v>
      </c>
      <c r="J138" s="3">
        <v>260.0</v>
      </c>
      <c r="K138" s="9">
        <v>0.0048</v>
      </c>
      <c r="L138" s="1">
        <v>434.0</v>
      </c>
      <c r="M138" s="8">
        <v>0.0029</v>
      </c>
      <c r="N138" s="1">
        <v>3.0</v>
      </c>
      <c r="O138" s="8">
        <v>0.00257</v>
      </c>
      <c r="P138" s="1">
        <v>92.0</v>
      </c>
      <c r="Q138" s="1">
        <v>3.0</v>
      </c>
      <c r="R138" s="8">
        <v>0.0326</v>
      </c>
      <c r="S138" s="1" t="s">
        <v>293</v>
      </c>
      <c r="T138" s="1" t="s">
        <v>23</v>
      </c>
      <c r="U138" s="11">
        <f t="shared" si="1"/>
        <v>97.81180481</v>
      </c>
      <c r="V138" s="12"/>
      <c r="W138" s="12"/>
      <c r="X138" s="12"/>
      <c r="Y138" s="6"/>
      <c r="Z138" s="5"/>
    </row>
    <row r="139">
      <c r="A139" s="14">
        <v>45994.0</v>
      </c>
      <c r="B139" s="1" t="s">
        <v>294</v>
      </c>
      <c r="C139" s="18">
        <v>161974.0</v>
      </c>
      <c r="D139" s="18">
        <v>159037.0</v>
      </c>
      <c r="E139" s="18">
        <v>164773.0</v>
      </c>
      <c r="F139" s="18">
        <v>134270.0</v>
      </c>
      <c r="G139" s="8">
        <v>0.8443</v>
      </c>
      <c r="H139" s="18">
        <v>3009.0</v>
      </c>
      <c r="I139" s="8">
        <v>0.0224</v>
      </c>
      <c r="J139" s="3">
        <v>374.0</v>
      </c>
      <c r="K139" s="9">
        <v>0.0028</v>
      </c>
      <c r="L139" s="1">
        <v>558.0</v>
      </c>
      <c r="M139" s="8">
        <v>0.0035</v>
      </c>
      <c r="N139" s="1">
        <v>3.0</v>
      </c>
      <c r="O139" s="8">
        <v>0.0026</v>
      </c>
      <c r="P139" s="1">
        <v>156.0</v>
      </c>
      <c r="Q139" s="1">
        <v>2.0</v>
      </c>
      <c r="R139" s="8">
        <v>0.0128</v>
      </c>
      <c r="S139" s="1" t="s">
        <v>295</v>
      </c>
      <c r="T139" s="1" t="s">
        <v>23</v>
      </c>
      <c r="U139" s="11">
        <f t="shared" si="1"/>
        <v>98.18674602</v>
      </c>
      <c r="V139" s="12"/>
      <c r="W139" s="12"/>
      <c r="X139" s="12"/>
      <c r="Y139" s="6"/>
      <c r="Z139" s="5"/>
    </row>
    <row r="140">
      <c r="A140" s="14">
        <v>45995.0</v>
      </c>
      <c r="B140" s="1" t="s">
        <v>296</v>
      </c>
      <c r="C140" s="18">
        <v>153081.0</v>
      </c>
      <c r="D140" s="18">
        <v>151422.0</v>
      </c>
      <c r="E140" s="18">
        <v>71050.0</v>
      </c>
      <c r="F140" s="18">
        <v>54464.0</v>
      </c>
      <c r="G140" s="8">
        <v>0.3597</v>
      </c>
      <c r="H140" s="1">
        <v>924.0</v>
      </c>
      <c r="I140" s="8">
        <v>0.017</v>
      </c>
      <c r="J140" s="3">
        <v>255.0</v>
      </c>
      <c r="K140" s="9">
        <v>0.0047</v>
      </c>
      <c r="L140" s="1">
        <v>403.0</v>
      </c>
      <c r="M140" s="8">
        <v>0.0027</v>
      </c>
      <c r="N140" s="1">
        <v>1.0</v>
      </c>
      <c r="O140" s="8">
        <v>8.9E-4</v>
      </c>
      <c r="P140" s="1">
        <v>123.0</v>
      </c>
      <c r="Q140" s="1">
        <v>2.0</v>
      </c>
      <c r="R140" s="8">
        <v>0.0163</v>
      </c>
      <c r="S140" s="1" t="s">
        <v>297</v>
      </c>
      <c r="T140" s="1" t="s">
        <v>23</v>
      </c>
      <c r="U140" s="11">
        <f t="shared" si="1"/>
        <v>98.91626002</v>
      </c>
      <c r="V140" s="12"/>
      <c r="W140" s="12"/>
      <c r="X140" s="12"/>
      <c r="Y140" s="6"/>
      <c r="Z140" s="5"/>
    </row>
    <row r="141">
      <c r="A141" s="14">
        <v>45996.0</v>
      </c>
      <c r="B141" s="1" t="s">
        <v>298</v>
      </c>
      <c r="C141" s="18">
        <v>157852.0</v>
      </c>
      <c r="D141" s="18">
        <v>155818.0</v>
      </c>
      <c r="E141" s="18">
        <v>74355.0</v>
      </c>
      <c r="F141" s="18">
        <v>54590.0</v>
      </c>
      <c r="G141" s="8">
        <v>0.3503</v>
      </c>
      <c r="H141" s="1">
        <v>844.0</v>
      </c>
      <c r="I141" s="8">
        <v>0.0155</v>
      </c>
      <c r="J141" s="3">
        <v>278.0</v>
      </c>
      <c r="K141" s="9">
        <v>0.0051</v>
      </c>
      <c r="L141" s="1">
        <v>344.0</v>
      </c>
      <c r="M141" s="8">
        <v>0.0022</v>
      </c>
      <c r="N141" s="1">
        <v>3.0</v>
      </c>
      <c r="O141" s="8">
        <v>0.0027</v>
      </c>
      <c r="P141" s="1">
        <v>107.0</v>
      </c>
      <c r="Q141" s="1">
        <v>3.0</v>
      </c>
      <c r="R141" s="8">
        <v>0.028</v>
      </c>
      <c r="S141" s="1" t="s">
        <v>299</v>
      </c>
      <c r="T141" s="1" t="s">
        <v>23</v>
      </c>
      <c r="U141" s="11">
        <f t="shared" si="1"/>
        <v>98.71145123</v>
      </c>
      <c r="V141" s="12"/>
      <c r="W141" s="12"/>
      <c r="X141" s="12"/>
      <c r="Y141" s="6"/>
      <c r="Z141" s="5"/>
    </row>
    <row r="142">
      <c r="A142" s="14">
        <v>45999.0</v>
      </c>
      <c r="B142" s="1" t="s">
        <v>300</v>
      </c>
      <c r="C142" s="18">
        <v>166448.0</v>
      </c>
      <c r="D142" s="18">
        <v>163074.0</v>
      </c>
      <c r="E142" s="18">
        <v>122474.0</v>
      </c>
      <c r="F142" s="18">
        <v>100522.0</v>
      </c>
      <c r="G142" s="8">
        <v>0.6164</v>
      </c>
      <c r="H142" s="18">
        <v>1383.0</v>
      </c>
      <c r="I142" s="8">
        <v>0.0138</v>
      </c>
      <c r="J142" s="3">
        <v>321.0</v>
      </c>
      <c r="K142" s="9">
        <v>0.0032</v>
      </c>
      <c r="L142" s="1">
        <v>380.0</v>
      </c>
      <c r="M142" s="8">
        <v>0.0023</v>
      </c>
      <c r="N142" s="1">
        <v>0.0</v>
      </c>
      <c r="O142" s="8">
        <v>0.0</v>
      </c>
      <c r="P142" s="1">
        <v>611.0</v>
      </c>
      <c r="Q142" s="1">
        <v>3.0</v>
      </c>
      <c r="R142" s="8">
        <v>0.0049</v>
      </c>
      <c r="S142" s="1" t="s">
        <v>301</v>
      </c>
      <c r="T142" s="1" t="s">
        <v>23</v>
      </c>
      <c r="U142" s="11">
        <f t="shared" si="1"/>
        <v>97.9729405</v>
      </c>
      <c r="V142" s="12"/>
      <c r="W142" s="12"/>
      <c r="X142" s="12"/>
      <c r="Y142" s="6"/>
      <c r="Z142" s="5"/>
    </row>
    <row r="143">
      <c r="A143" s="14">
        <v>46000.0</v>
      </c>
      <c r="B143" s="1" t="s">
        <v>302</v>
      </c>
      <c r="C143" s="18">
        <v>157289.0</v>
      </c>
      <c r="D143" s="18">
        <v>155528.0</v>
      </c>
      <c r="E143" s="18">
        <v>106170.0</v>
      </c>
      <c r="F143" s="18">
        <v>84171.0</v>
      </c>
      <c r="G143" s="8">
        <v>0.5412</v>
      </c>
      <c r="H143" s="1">
        <v>983.0</v>
      </c>
      <c r="I143" s="8">
        <v>0.0117</v>
      </c>
      <c r="J143" s="3">
        <v>254.0</v>
      </c>
      <c r="K143" s="9">
        <v>0.003</v>
      </c>
      <c r="L143" s="1">
        <v>336.0</v>
      </c>
      <c r="M143" s="8">
        <v>0.0022</v>
      </c>
      <c r="N143" s="1">
        <v>0.0</v>
      </c>
      <c r="O143" s="8">
        <v>0.0</v>
      </c>
      <c r="P143" s="1">
        <v>410.0</v>
      </c>
      <c r="Q143" s="1">
        <v>1.0</v>
      </c>
      <c r="R143" s="8">
        <v>0.0024</v>
      </c>
      <c r="S143" s="1" t="s">
        <v>303</v>
      </c>
      <c r="T143" s="1" t="s">
        <v>23</v>
      </c>
      <c r="U143" s="11">
        <f t="shared" si="1"/>
        <v>98.88040486</v>
      </c>
      <c r="V143" s="12"/>
      <c r="W143" s="12"/>
      <c r="X143" s="12"/>
      <c r="Y143" s="6"/>
      <c r="Z143" s="5"/>
    </row>
    <row r="144">
      <c r="A144" s="14">
        <v>46001.0</v>
      </c>
      <c r="B144" s="1" t="s">
        <v>304</v>
      </c>
      <c r="C144" s="18">
        <v>161015.0</v>
      </c>
      <c r="D144" s="18">
        <v>159440.0</v>
      </c>
      <c r="E144" s="18">
        <v>75555.0</v>
      </c>
      <c r="F144" s="18">
        <v>58267.0</v>
      </c>
      <c r="G144" s="8">
        <v>0.3654</v>
      </c>
      <c r="H144" s="18">
        <v>1073.0</v>
      </c>
      <c r="I144" s="8">
        <v>0.0184</v>
      </c>
      <c r="J144" s="3">
        <v>325.0</v>
      </c>
      <c r="K144" s="9">
        <v>0.0056</v>
      </c>
      <c r="L144" s="1">
        <v>375.0</v>
      </c>
      <c r="M144" s="8">
        <v>0.0024</v>
      </c>
      <c r="N144" s="1">
        <v>2.0</v>
      </c>
      <c r="O144" s="8">
        <v>0.00187</v>
      </c>
      <c r="P144" s="1">
        <v>363.0</v>
      </c>
      <c r="Q144" s="1">
        <v>0.0</v>
      </c>
      <c r="R144" s="8">
        <v>0.0</v>
      </c>
      <c r="S144" s="1" t="s">
        <v>305</v>
      </c>
      <c r="T144" s="1" t="s">
        <v>23</v>
      </c>
      <c r="U144" s="11">
        <f t="shared" si="1"/>
        <v>99.02183026</v>
      </c>
      <c r="V144" s="12"/>
      <c r="W144" s="12"/>
      <c r="X144" s="12"/>
      <c r="Y144" s="6"/>
      <c r="Z144" s="5"/>
    </row>
    <row r="145">
      <c r="A145" s="14">
        <v>46002.0</v>
      </c>
      <c r="B145" s="1" t="s">
        <v>306</v>
      </c>
      <c r="C145" s="18">
        <v>159481.0</v>
      </c>
      <c r="D145" s="18">
        <v>156464.0</v>
      </c>
      <c r="E145" s="18">
        <v>80977.0</v>
      </c>
      <c r="F145" s="18">
        <v>66109.0</v>
      </c>
      <c r="G145" s="8">
        <v>0.4225</v>
      </c>
      <c r="H145" s="18">
        <v>1474.0</v>
      </c>
      <c r="I145" s="8">
        <v>0.0223</v>
      </c>
      <c r="J145" s="3">
        <v>178.0</v>
      </c>
      <c r="K145" s="9">
        <v>0.0027</v>
      </c>
      <c r="L145" s="1">
        <v>293.0</v>
      </c>
      <c r="M145" s="8">
        <v>0.0019</v>
      </c>
      <c r="N145" s="1">
        <v>1.0</v>
      </c>
      <c r="O145" s="8">
        <v>9.5E-4</v>
      </c>
      <c r="P145" s="18">
        <v>1459.0</v>
      </c>
      <c r="Q145" s="1">
        <v>3.0</v>
      </c>
      <c r="R145" s="8">
        <v>0.0021</v>
      </c>
      <c r="S145" s="1" t="s">
        <v>307</v>
      </c>
      <c r="T145" s="1" t="s">
        <v>23</v>
      </c>
      <c r="U145" s="11">
        <f t="shared" si="1"/>
        <v>98.1082386</v>
      </c>
      <c r="V145" s="12"/>
      <c r="W145" s="12"/>
      <c r="X145" s="12"/>
      <c r="Y145" s="6"/>
      <c r="Z145" s="5"/>
    </row>
    <row r="146">
      <c r="A146" s="14">
        <v>46003.0</v>
      </c>
      <c r="B146" s="1" t="s">
        <v>308</v>
      </c>
      <c r="C146" s="18">
        <v>152086.0</v>
      </c>
      <c r="D146" s="18">
        <v>150530.0</v>
      </c>
      <c r="E146" s="18">
        <v>79215.0</v>
      </c>
      <c r="F146" s="18">
        <v>62404.0</v>
      </c>
      <c r="G146" s="8">
        <v>0.4146</v>
      </c>
      <c r="H146" s="18">
        <v>1862.0</v>
      </c>
      <c r="I146" s="8">
        <v>0.0298</v>
      </c>
      <c r="J146" s="3">
        <v>218.0</v>
      </c>
      <c r="K146" s="9">
        <v>0.0035</v>
      </c>
      <c r="L146" s="1">
        <v>250.0</v>
      </c>
      <c r="M146" s="8">
        <v>0.0017</v>
      </c>
      <c r="N146" s="1">
        <v>0.0</v>
      </c>
      <c r="O146" s="8">
        <v>0.0</v>
      </c>
      <c r="P146" s="1">
        <v>225.0</v>
      </c>
      <c r="Q146" s="1">
        <v>1.0</v>
      </c>
      <c r="R146" s="8">
        <v>0.0044</v>
      </c>
      <c r="S146" s="1" t="s">
        <v>309</v>
      </c>
      <c r="T146" s="1" t="s">
        <v>23</v>
      </c>
      <c r="U146" s="11">
        <f t="shared" si="1"/>
        <v>98.97689465</v>
      </c>
      <c r="V146" s="12"/>
      <c r="W146" s="12"/>
      <c r="X146" s="12"/>
      <c r="Y146" s="6"/>
      <c r="Z146" s="5"/>
    </row>
    <row r="147">
      <c r="A147" s="14">
        <v>46006.0</v>
      </c>
      <c r="B147" s="1" t="s">
        <v>310</v>
      </c>
      <c r="C147" s="18">
        <v>150963.0</v>
      </c>
      <c r="D147" s="18">
        <v>149185.0</v>
      </c>
      <c r="E147" s="18">
        <v>62035.0</v>
      </c>
      <c r="F147" s="18">
        <v>46193.0</v>
      </c>
      <c r="G147" s="8">
        <v>0.3096</v>
      </c>
      <c r="H147" s="1">
        <v>487.0</v>
      </c>
      <c r="I147" s="8">
        <v>0.0105</v>
      </c>
      <c r="J147" s="3">
        <v>165.0</v>
      </c>
      <c r="K147" s="9">
        <v>0.0036</v>
      </c>
      <c r="L147" s="1">
        <v>207.0</v>
      </c>
      <c r="M147" s="8">
        <v>0.0014</v>
      </c>
      <c r="N147" s="1">
        <v>0.0</v>
      </c>
      <c r="O147" s="8">
        <v>0.0</v>
      </c>
      <c r="P147" s="1">
        <v>424.0</v>
      </c>
      <c r="Q147" s="1">
        <v>1.0</v>
      </c>
      <c r="R147" s="8">
        <v>0.0024</v>
      </c>
      <c r="S147" s="1" t="s">
        <v>311</v>
      </c>
      <c r="T147" s="1" t="s">
        <v>23</v>
      </c>
      <c r="U147" s="11">
        <f t="shared" si="1"/>
        <v>98.82222796</v>
      </c>
      <c r="V147" s="12"/>
      <c r="W147" s="12"/>
      <c r="X147" s="12"/>
      <c r="Y147" s="6"/>
      <c r="Z147" s="5"/>
    </row>
    <row r="148">
      <c r="A148" s="14">
        <v>46007.0</v>
      </c>
      <c r="B148" s="1" t="s">
        <v>312</v>
      </c>
      <c r="C148" s="18">
        <v>150404.0</v>
      </c>
      <c r="D148" s="18">
        <v>148919.0</v>
      </c>
      <c r="E148" s="18">
        <v>121238.0</v>
      </c>
      <c r="F148" s="18">
        <v>80607.0</v>
      </c>
      <c r="G148" s="8">
        <v>0.5413</v>
      </c>
      <c r="H148" s="1">
        <v>236.0</v>
      </c>
      <c r="I148" s="8">
        <v>0.0029</v>
      </c>
      <c r="J148" s="3">
        <v>180.0</v>
      </c>
      <c r="K148" s="9">
        <v>0.0022</v>
      </c>
      <c r="L148" s="1">
        <v>216.0</v>
      </c>
      <c r="M148" s="8">
        <v>0.0015</v>
      </c>
      <c r="N148" s="1">
        <v>0.0</v>
      </c>
      <c r="O148" s="8">
        <v>0.0</v>
      </c>
      <c r="P148" s="1">
        <v>915.0</v>
      </c>
      <c r="Q148" s="1">
        <v>1.0</v>
      </c>
      <c r="R148" s="8">
        <v>0.0011</v>
      </c>
      <c r="S148" s="1" t="s">
        <v>313</v>
      </c>
      <c r="T148" s="1" t="s">
        <v>23</v>
      </c>
      <c r="U148" s="11">
        <f t="shared" si="1"/>
        <v>99.01265924</v>
      </c>
      <c r="V148" s="12"/>
      <c r="W148" s="12"/>
      <c r="X148" s="12"/>
      <c r="Y148" s="6"/>
      <c r="Z148" s="5"/>
    </row>
    <row r="149">
      <c r="A149" s="14">
        <v>46008.0</v>
      </c>
      <c r="B149" s="1" t="s">
        <v>314</v>
      </c>
      <c r="C149" s="18">
        <v>159313.0</v>
      </c>
      <c r="D149" s="18">
        <v>157764.0</v>
      </c>
      <c r="E149" s="18">
        <v>141681.0</v>
      </c>
      <c r="F149" s="18">
        <v>102451.0</v>
      </c>
      <c r="G149" s="8">
        <v>0.6494</v>
      </c>
      <c r="H149" s="18">
        <v>1330.0</v>
      </c>
      <c r="I149" s="8">
        <v>0.013</v>
      </c>
      <c r="J149" s="3">
        <v>301.0</v>
      </c>
      <c r="K149" s="9">
        <v>0.0029</v>
      </c>
      <c r="L149" s="1">
        <v>314.0</v>
      </c>
      <c r="M149" s="8">
        <v>0.002</v>
      </c>
      <c r="N149" s="1">
        <v>0.0</v>
      </c>
      <c r="O149" s="8">
        <v>0.0</v>
      </c>
      <c r="P149" s="18">
        <v>1297.0</v>
      </c>
      <c r="Q149" s="1">
        <v>6.0</v>
      </c>
      <c r="R149" s="8">
        <v>0.0046</v>
      </c>
      <c r="S149" s="1" t="s">
        <v>315</v>
      </c>
      <c r="T149" s="1" t="s">
        <v>23</v>
      </c>
      <c r="U149" s="11">
        <f t="shared" si="1"/>
        <v>99.02770019</v>
      </c>
      <c r="V149" s="12"/>
      <c r="W149" s="12"/>
      <c r="X149" s="12"/>
      <c r="Y149" s="6"/>
      <c r="Z149" s="5"/>
    </row>
    <row r="150">
      <c r="A150" s="14">
        <v>46009.0</v>
      </c>
      <c r="B150" s="1" t="s">
        <v>316</v>
      </c>
      <c r="C150" s="18">
        <v>168355.0</v>
      </c>
      <c r="D150" s="18">
        <v>166114.0</v>
      </c>
      <c r="E150" s="18">
        <v>126938.0</v>
      </c>
      <c r="F150" s="18">
        <v>90475.0</v>
      </c>
      <c r="G150" s="8">
        <v>0.5447</v>
      </c>
      <c r="H150" s="18">
        <v>2926.0</v>
      </c>
      <c r="I150" s="8">
        <v>0.0323</v>
      </c>
      <c r="J150" s="3">
        <v>251.0</v>
      </c>
      <c r="K150" s="9">
        <v>0.0028</v>
      </c>
      <c r="L150" s="1">
        <v>312.0</v>
      </c>
      <c r="M150" s="8">
        <v>0.0019</v>
      </c>
      <c r="N150" s="1">
        <v>3.0</v>
      </c>
      <c r="O150" s="8">
        <v>0.00293</v>
      </c>
      <c r="P150" s="1">
        <v>199.0</v>
      </c>
      <c r="Q150" s="1">
        <v>2.0</v>
      </c>
      <c r="R150" s="8">
        <v>0.0101</v>
      </c>
      <c r="S150" s="1" t="s">
        <v>317</v>
      </c>
      <c r="T150" s="1" t="s">
        <v>23</v>
      </c>
      <c r="U150" s="11">
        <f t="shared" si="1"/>
        <v>98.6688842</v>
      </c>
      <c r="V150" s="12"/>
      <c r="W150" s="12"/>
      <c r="X150" s="12"/>
      <c r="Y150" s="6"/>
      <c r="Z150" s="5"/>
    </row>
    <row r="151">
      <c r="A151" s="14">
        <v>46010.0</v>
      </c>
      <c r="B151" s="1" t="s">
        <v>318</v>
      </c>
      <c r="C151" s="18">
        <v>162334.0</v>
      </c>
      <c r="D151" s="18">
        <v>158985.0</v>
      </c>
      <c r="E151" s="18">
        <v>51817.0</v>
      </c>
      <c r="F151" s="18">
        <v>35852.0</v>
      </c>
      <c r="G151" s="8">
        <v>0.2255</v>
      </c>
      <c r="H151" s="1">
        <v>228.0</v>
      </c>
      <c r="I151" s="8">
        <v>0.0064</v>
      </c>
      <c r="J151" s="3">
        <v>152.0</v>
      </c>
      <c r="K151" s="9">
        <v>0.0042</v>
      </c>
      <c r="L151" s="1">
        <v>223.0</v>
      </c>
      <c r="M151" s="8">
        <v>0.0014</v>
      </c>
      <c r="N151" s="1">
        <v>2.0</v>
      </c>
      <c r="O151" s="8">
        <v>0.00196</v>
      </c>
      <c r="P151" s="1">
        <v>69.0</v>
      </c>
      <c r="Q151" s="1">
        <v>1.0</v>
      </c>
      <c r="R151" s="8">
        <v>0.0145</v>
      </c>
      <c r="S151" s="1" t="s">
        <v>319</v>
      </c>
      <c r="T151" s="1" t="s">
        <v>23</v>
      </c>
      <c r="U151" s="11">
        <f t="shared" si="1"/>
        <v>97.93696946</v>
      </c>
      <c r="V151" s="12"/>
      <c r="W151" s="12"/>
      <c r="X151" s="12"/>
      <c r="Y151" s="6"/>
      <c r="Z151" s="5"/>
    </row>
    <row r="152">
      <c r="A152" s="14">
        <v>46013.0</v>
      </c>
      <c r="B152" s="1" t="s">
        <v>320</v>
      </c>
      <c r="C152" s="18">
        <v>167492.0</v>
      </c>
      <c r="D152" s="18">
        <v>165191.0</v>
      </c>
      <c r="E152" s="18">
        <v>80938.0</v>
      </c>
      <c r="F152" s="18">
        <v>52356.0</v>
      </c>
      <c r="G152" s="8">
        <v>0.3169</v>
      </c>
      <c r="H152" s="1">
        <v>584.0</v>
      </c>
      <c r="I152" s="8">
        <v>0.0112</v>
      </c>
      <c r="J152" s="3">
        <v>281.0</v>
      </c>
      <c r="K152" s="9">
        <v>0.0054</v>
      </c>
      <c r="L152" s="1">
        <v>297.0</v>
      </c>
      <c r="M152" s="8">
        <v>0.0018</v>
      </c>
      <c r="N152" s="1">
        <v>0.0</v>
      </c>
      <c r="O152" s="8">
        <v>0.0</v>
      </c>
      <c r="P152" s="1">
        <v>319.0</v>
      </c>
      <c r="Q152" s="1">
        <v>5.0</v>
      </c>
      <c r="R152" s="8">
        <v>0.0157</v>
      </c>
      <c r="S152" s="1" t="s">
        <v>321</v>
      </c>
      <c r="T152" s="1" t="s">
        <v>23</v>
      </c>
      <c r="U152" s="11">
        <f t="shared" si="1"/>
        <v>98.62620304</v>
      </c>
      <c r="V152" s="12"/>
      <c r="W152" s="12"/>
      <c r="X152" s="12"/>
      <c r="Y152" s="6"/>
      <c r="Z152" s="5"/>
    </row>
    <row r="153">
      <c r="A153" s="14">
        <v>46014.0</v>
      </c>
      <c r="B153" s="1" t="s">
        <v>322</v>
      </c>
      <c r="C153" s="18">
        <v>167119.0</v>
      </c>
      <c r="D153" s="18">
        <v>162919.0</v>
      </c>
      <c r="E153" s="18">
        <v>64205.0</v>
      </c>
      <c r="F153" s="18">
        <v>42922.0</v>
      </c>
      <c r="G153" s="8">
        <v>0.2635</v>
      </c>
      <c r="H153" s="1">
        <v>327.0</v>
      </c>
      <c r="I153" s="8">
        <v>0.0076</v>
      </c>
      <c r="J153" s="3">
        <v>170.0</v>
      </c>
      <c r="K153" s="9">
        <v>0.004</v>
      </c>
      <c r="L153" s="1">
        <v>218.0</v>
      </c>
      <c r="M153" s="8">
        <v>0.0013</v>
      </c>
      <c r="N153" s="1">
        <v>0.0</v>
      </c>
      <c r="O153" s="8">
        <v>0.0</v>
      </c>
      <c r="P153" s="1">
        <v>126.0</v>
      </c>
      <c r="Q153" s="1">
        <v>5.0</v>
      </c>
      <c r="R153" s="8">
        <v>0.0397</v>
      </c>
      <c r="S153" s="1" t="s">
        <v>323</v>
      </c>
      <c r="T153" s="1" t="s">
        <v>23</v>
      </c>
      <c r="U153" s="11">
        <f t="shared" si="1"/>
        <v>97.48682077</v>
      </c>
      <c r="V153" s="12"/>
      <c r="W153" s="12"/>
      <c r="X153" s="12"/>
      <c r="Y153" s="6"/>
      <c r="Z153" s="5"/>
    </row>
    <row r="154">
      <c r="A154" s="14">
        <v>46017.0</v>
      </c>
      <c r="B154" s="1" t="s">
        <v>324</v>
      </c>
      <c r="C154" s="18">
        <v>152747.0</v>
      </c>
      <c r="D154" s="18">
        <v>151268.0</v>
      </c>
      <c r="E154" s="18">
        <v>95006.0</v>
      </c>
      <c r="F154" s="18">
        <v>65445.0</v>
      </c>
      <c r="G154" s="8">
        <v>0.4326</v>
      </c>
      <c r="H154" s="1">
        <v>695.0</v>
      </c>
      <c r="I154" s="8">
        <v>0.0106</v>
      </c>
      <c r="J154" s="3">
        <v>195.0</v>
      </c>
      <c r="K154" s="9">
        <v>0.003</v>
      </c>
      <c r="L154" s="1">
        <v>206.0</v>
      </c>
      <c r="M154" s="8">
        <v>0.0014</v>
      </c>
      <c r="N154" s="1">
        <v>0.0</v>
      </c>
      <c r="O154" s="8">
        <v>0.0</v>
      </c>
      <c r="P154" s="1">
        <v>827.0</v>
      </c>
      <c r="Q154" s="1">
        <v>2.0</v>
      </c>
      <c r="R154" s="8">
        <v>0.0024</v>
      </c>
      <c r="S154" s="1" t="s">
        <v>325</v>
      </c>
      <c r="T154" s="1" t="s">
        <v>23</v>
      </c>
      <c r="U154" s="11">
        <f t="shared" si="1"/>
        <v>99.03173221</v>
      </c>
      <c r="V154" s="12"/>
      <c r="W154" s="12"/>
      <c r="X154" s="12"/>
      <c r="Y154" s="6"/>
      <c r="Z154" s="5"/>
    </row>
    <row r="155">
      <c r="A155" s="14">
        <v>46020.0</v>
      </c>
      <c r="B155" s="1" t="s">
        <v>326</v>
      </c>
      <c r="C155" s="18">
        <v>152201.0</v>
      </c>
      <c r="D155" s="18">
        <v>150429.0</v>
      </c>
      <c r="E155" s="18">
        <v>57894.0</v>
      </c>
      <c r="F155" s="18">
        <v>42139.0</v>
      </c>
      <c r="G155" s="8">
        <v>0.2801</v>
      </c>
      <c r="H155" s="1">
        <v>220.0</v>
      </c>
      <c r="I155" s="8">
        <v>0.0052</v>
      </c>
      <c r="J155" s="3">
        <v>179.0</v>
      </c>
      <c r="K155" s="9">
        <v>0.0042</v>
      </c>
      <c r="L155" s="1">
        <v>243.0</v>
      </c>
      <c r="M155" s="8">
        <v>0.0016</v>
      </c>
      <c r="N155" s="1">
        <v>0.0</v>
      </c>
      <c r="O155" s="8">
        <v>0.0</v>
      </c>
      <c r="P155" s="1">
        <v>85.0</v>
      </c>
      <c r="Q155" s="1">
        <v>0.0</v>
      </c>
      <c r="R155" s="8">
        <v>0.0</v>
      </c>
      <c r="S155" s="1" t="s">
        <v>327</v>
      </c>
      <c r="T155" s="1" t="s">
        <v>23</v>
      </c>
      <c r="U155" s="11">
        <f t="shared" si="1"/>
        <v>98.83575009</v>
      </c>
      <c r="V155" s="12"/>
      <c r="W155" s="12"/>
      <c r="X155" s="12"/>
      <c r="Y155" s="6"/>
      <c r="Z155" s="5"/>
    </row>
    <row r="156">
      <c r="A156" s="14">
        <v>46021.0</v>
      </c>
      <c r="B156" s="1" t="s">
        <v>328</v>
      </c>
      <c r="C156" s="18">
        <v>151889.0</v>
      </c>
      <c r="D156" s="18">
        <v>150287.0</v>
      </c>
      <c r="E156" s="18">
        <v>145365.0</v>
      </c>
      <c r="F156" s="18">
        <v>106035.0</v>
      </c>
      <c r="G156" s="8">
        <v>0.7056</v>
      </c>
      <c r="H156" s="1">
        <v>617.0</v>
      </c>
      <c r="I156" s="8">
        <v>0.0058</v>
      </c>
      <c r="J156" s="3">
        <v>171.0</v>
      </c>
      <c r="K156" s="9">
        <v>0.0016</v>
      </c>
      <c r="L156" s="1">
        <v>227.0</v>
      </c>
      <c r="M156" s="8">
        <v>0.0015</v>
      </c>
      <c r="N156" s="1">
        <v>2.0</v>
      </c>
      <c r="O156" s="8">
        <v>0.00183</v>
      </c>
      <c r="P156" s="1">
        <v>143.0</v>
      </c>
      <c r="Q156" s="1">
        <v>1.0</v>
      </c>
      <c r="R156" s="8">
        <v>0.007</v>
      </c>
      <c r="S156" s="1" t="s">
        <v>329</v>
      </c>
      <c r="T156" s="1" t="s">
        <v>23</v>
      </c>
      <c r="U156" s="11">
        <f t="shared" si="1"/>
        <v>98.94528241</v>
      </c>
      <c r="V156" s="12"/>
      <c r="W156" s="12"/>
      <c r="X156" s="12"/>
      <c r="Y156" s="6"/>
      <c r="Z156" s="5"/>
    </row>
    <row r="157">
      <c r="A157" s="14">
        <v>46024.0</v>
      </c>
      <c r="B157" s="1" t="s">
        <v>330</v>
      </c>
      <c r="C157" s="18">
        <v>151290.0</v>
      </c>
      <c r="D157" s="18">
        <v>149462.0</v>
      </c>
      <c r="E157" s="18">
        <v>168939.0</v>
      </c>
      <c r="F157" s="18">
        <v>107074.0</v>
      </c>
      <c r="G157" s="8">
        <v>0.7164</v>
      </c>
      <c r="H157" s="18">
        <v>1755.0</v>
      </c>
      <c r="I157" s="8">
        <v>0.0164</v>
      </c>
      <c r="J157" s="3">
        <v>164.0</v>
      </c>
      <c r="K157" s="9">
        <v>0.0015</v>
      </c>
      <c r="L157" s="1">
        <v>208.0</v>
      </c>
      <c r="M157" s="8">
        <v>0.0014</v>
      </c>
      <c r="N157" s="1">
        <v>0.0</v>
      </c>
      <c r="O157" s="8">
        <v>0.0</v>
      </c>
      <c r="P157" s="18">
        <v>2745.0</v>
      </c>
      <c r="Q157" s="1">
        <v>3.0</v>
      </c>
      <c r="R157" s="8">
        <v>0.0011</v>
      </c>
      <c r="S157" s="1" t="s">
        <v>331</v>
      </c>
      <c r="T157" s="1" t="s">
        <v>23</v>
      </c>
      <c r="U157" s="11">
        <f t="shared" si="1"/>
        <v>98.7917245</v>
      </c>
      <c r="V157" s="12"/>
      <c r="W157" s="12"/>
      <c r="X157" s="12"/>
      <c r="Y157" s="6"/>
      <c r="Z157" s="5"/>
    </row>
    <row r="158">
      <c r="A158" s="14">
        <v>46027.0</v>
      </c>
      <c r="B158" s="1" t="s">
        <v>332</v>
      </c>
      <c r="C158" s="18">
        <v>173585.0</v>
      </c>
      <c r="D158" s="18">
        <v>171882.0</v>
      </c>
      <c r="E158" s="18">
        <v>123287.0</v>
      </c>
      <c r="F158" s="18">
        <v>94936.0</v>
      </c>
      <c r="G158" s="8">
        <v>0.5523</v>
      </c>
      <c r="H158" s="18">
        <v>1632.0</v>
      </c>
      <c r="I158" s="8">
        <v>0.0172</v>
      </c>
      <c r="J158" s="3">
        <v>494.0</v>
      </c>
      <c r="K158" s="9">
        <v>0.0052</v>
      </c>
      <c r="L158" s="1">
        <v>591.0</v>
      </c>
      <c r="M158" s="8">
        <v>0.0034</v>
      </c>
      <c r="N158" s="1">
        <v>1.0</v>
      </c>
      <c r="O158" s="8">
        <v>9.4E-4</v>
      </c>
      <c r="P158" s="1">
        <v>713.0</v>
      </c>
      <c r="Q158" s="1">
        <v>5.0</v>
      </c>
      <c r="R158" s="8">
        <v>0.007</v>
      </c>
      <c r="S158" s="1" t="s">
        <v>333</v>
      </c>
      <c r="T158" s="1" t="s">
        <v>23</v>
      </c>
      <c r="U158" s="11">
        <f t="shared" si="1"/>
        <v>99.01892445</v>
      </c>
      <c r="V158" s="12"/>
      <c r="W158" s="12"/>
      <c r="X158" s="12"/>
      <c r="Y158" s="6"/>
      <c r="Z158" s="5"/>
    </row>
    <row r="159">
      <c r="A159" s="14">
        <v>46028.0</v>
      </c>
      <c r="B159" s="1" t="s">
        <v>334</v>
      </c>
      <c r="C159" s="18">
        <v>183769.0</v>
      </c>
      <c r="D159" s="18">
        <v>181238.0</v>
      </c>
      <c r="E159" s="18">
        <v>201595.0</v>
      </c>
      <c r="F159" s="18">
        <v>131829.0</v>
      </c>
      <c r="G159" s="8">
        <v>0.7274</v>
      </c>
      <c r="H159" s="18">
        <v>1698.0</v>
      </c>
      <c r="I159" s="8">
        <v>0.0129</v>
      </c>
      <c r="J159" s="3">
        <v>389.0</v>
      </c>
      <c r="K159" s="9">
        <v>0.003</v>
      </c>
      <c r="L159" s="1">
        <v>576.0</v>
      </c>
      <c r="M159" s="8">
        <v>0.0032</v>
      </c>
      <c r="N159" s="1">
        <v>2.0</v>
      </c>
      <c r="O159" s="8">
        <v>0.00187</v>
      </c>
      <c r="P159" s="18">
        <v>2061.0</v>
      </c>
      <c r="Q159" s="1">
        <v>3.0</v>
      </c>
      <c r="R159" s="8">
        <v>0.0015</v>
      </c>
      <c r="S159" s="1" t="s">
        <v>335</v>
      </c>
      <c r="T159" s="1" t="s">
        <v>23</v>
      </c>
      <c r="U159" s="11">
        <f t="shared" si="1"/>
        <v>98.62272745</v>
      </c>
      <c r="V159" s="12"/>
      <c r="W159" s="12"/>
      <c r="X159" s="12"/>
      <c r="Y159" s="6"/>
      <c r="Z159" s="5"/>
    </row>
    <row r="160">
      <c r="A160" s="14">
        <v>46029.0</v>
      </c>
      <c r="B160" s="1" t="s">
        <v>336</v>
      </c>
      <c r="C160" s="18">
        <v>183650.0</v>
      </c>
      <c r="D160" s="18">
        <v>181329.0</v>
      </c>
      <c r="E160" s="18">
        <v>125452.0</v>
      </c>
      <c r="F160" s="18">
        <v>106108.0</v>
      </c>
      <c r="G160" s="8">
        <v>0.5852</v>
      </c>
      <c r="H160" s="18">
        <v>1434.0</v>
      </c>
      <c r="I160" s="8">
        <v>0.0135</v>
      </c>
      <c r="J160" s="3">
        <v>404.0</v>
      </c>
      <c r="K160" s="9">
        <v>0.0038</v>
      </c>
      <c r="L160" s="1">
        <v>563.0</v>
      </c>
      <c r="M160" s="8">
        <v>0.0031</v>
      </c>
      <c r="N160" s="1">
        <v>0.0</v>
      </c>
      <c r="O160" s="8">
        <v>0.0</v>
      </c>
      <c r="P160" s="18">
        <v>1968.0</v>
      </c>
      <c r="Q160" s="1">
        <v>0.0</v>
      </c>
      <c r="R160" s="8">
        <v>0.0</v>
      </c>
      <c r="S160" s="1" t="s">
        <v>337</v>
      </c>
      <c r="T160" s="1" t="s">
        <v>23</v>
      </c>
      <c r="U160" s="11">
        <f t="shared" si="1"/>
        <v>98.73618296</v>
      </c>
      <c r="V160" s="12"/>
      <c r="W160" s="12"/>
      <c r="X160" s="12"/>
      <c r="Y160" s="6"/>
      <c r="Z160" s="5"/>
    </row>
    <row r="161">
      <c r="A161" s="14">
        <v>46030.0</v>
      </c>
      <c r="B161" s="1" t="s">
        <v>338</v>
      </c>
      <c r="C161" s="18">
        <v>190998.0</v>
      </c>
      <c r="D161" s="18">
        <v>188663.0</v>
      </c>
      <c r="E161" s="18">
        <v>132476.0</v>
      </c>
      <c r="F161" s="18">
        <v>109475.0</v>
      </c>
      <c r="G161" s="8">
        <v>0.5803</v>
      </c>
      <c r="H161" s="18">
        <v>1172.0</v>
      </c>
      <c r="I161" s="8">
        <v>0.0107</v>
      </c>
      <c r="J161" s="3">
        <v>405.0</v>
      </c>
      <c r="K161" s="9">
        <v>0.0037</v>
      </c>
      <c r="L161" s="1">
        <v>617.0</v>
      </c>
      <c r="M161" s="8">
        <v>0.0033</v>
      </c>
      <c r="N161" s="1">
        <v>0.0</v>
      </c>
      <c r="O161" s="8">
        <v>0.0</v>
      </c>
      <c r="P161" s="18">
        <v>1043.0</v>
      </c>
      <c r="Q161" s="1">
        <v>1.0</v>
      </c>
      <c r="R161" s="8">
        <v>0.001</v>
      </c>
      <c r="S161" s="1" t="s">
        <v>339</v>
      </c>
      <c r="T161" s="1" t="s">
        <v>23</v>
      </c>
      <c r="U161" s="11">
        <f t="shared" si="1"/>
        <v>98.77747411</v>
      </c>
      <c r="V161" s="12"/>
      <c r="W161" s="12"/>
      <c r="X161" s="12"/>
      <c r="Y161" s="6"/>
      <c r="Z161" s="5"/>
    </row>
    <row r="162">
      <c r="A162" s="14">
        <v>46031.0</v>
      </c>
      <c r="B162" s="1" t="s">
        <v>340</v>
      </c>
      <c r="C162" s="18">
        <v>183280.0</v>
      </c>
      <c r="D162" s="18">
        <v>182464.0</v>
      </c>
      <c r="E162" s="18">
        <v>175533.0</v>
      </c>
      <c r="F162" s="18">
        <v>154544.0</v>
      </c>
      <c r="G162" s="8">
        <v>0.847</v>
      </c>
      <c r="H162" s="1">
        <v>986.0</v>
      </c>
      <c r="I162" s="8">
        <v>0.0064</v>
      </c>
      <c r="J162" s="3">
        <v>276.0</v>
      </c>
      <c r="K162" s="9">
        <v>0.0018</v>
      </c>
      <c r="L162" s="1">
        <v>388.0</v>
      </c>
      <c r="M162" s="8">
        <v>0.0021</v>
      </c>
      <c r="N162" s="1">
        <v>1.0</v>
      </c>
      <c r="O162" s="8">
        <v>9.7E-4</v>
      </c>
      <c r="P162" s="18">
        <v>1487.0</v>
      </c>
      <c r="Q162" s="1">
        <v>2.0</v>
      </c>
      <c r="R162" s="8">
        <v>0.0013</v>
      </c>
      <c r="S162" s="1" t="s">
        <v>341</v>
      </c>
      <c r="T162" s="1" t="s">
        <v>23</v>
      </c>
      <c r="U162" s="11">
        <f t="shared" si="1"/>
        <v>99.55477957</v>
      </c>
      <c r="V162" s="12"/>
      <c r="W162" s="12"/>
      <c r="X162" s="12"/>
      <c r="Y162" s="6"/>
      <c r="Z162" s="5"/>
    </row>
    <row r="163">
      <c r="A163" s="14">
        <v>46034.0</v>
      </c>
      <c r="B163" s="1" t="s">
        <v>342</v>
      </c>
      <c r="C163" s="18">
        <v>175890.0</v>
      </c>
      <c r="D163" s="18">
        <v>174773.0</v>
      </c>
      <c r="E163" s="18">
        <v>154882.0</v>
      </c>
      <c r="F163" s="18">
        <v>135857.0</v>
      </c>
      <c r="G163" s="8">
        <v>0.7773</v>
      </c>
      <c r="H163" s="18">
        <v>1737.0</v>
      </c>
      <c r="I163" s="8">
        <v>0.0128</v>
      </c>
      <c r="J163" s="3">
        <v>276.0</v>
      </c>
      <c r="K163" s="9">
        <v>0.002</v>
      </c>
      <c r="L163" s="1">
        <v>372.0</v>
      </c>
      <c r="M163" s="8">
        <v>0.0021</v>
      </c>
      <c r="N163" s="1">
        <v>0.0</v>
      </c>
      <c r="O163" s="8">
        <v>0.0</v>
      </c>
      <c r="P163" s="1">
        <v>128.0</v>
      </c>
      <c r="Q163" s="1">
        <v>2.0</v>
      </c>
      <c r="R163" s="8">
        <v>0.0156</v>
      </c>
      <c r="S163" s="1" t="s">
        <v>343</v>
      </c>
      <c r="T163" s="1" t="s">
        <v>23</v>
      </c>
      <c r="U163" s="11">
        <f t="shared" si="1"/>
        <v>99.364944</v>
      </c>
      <c r="V163" s="12"/>
      <c r="W163" s="12"/>
      <c r="X163" s="12"/>
      <c r="Y163" s="6"/>
      <c r="Z163" s="5"/>
    </row>
    <row r="164">
      <c r="A164" s="14">
        <v>46035.0</v>
      </c>
      <c r="B164" s="1" t="s">
        <v>344</v>
      </c>
      <c r="C164" s="18">
        <v>175355.0</v>
      </c>
      <c r="D164" s="18">
        <v>174630.0</v>
      </c>
      <c r="E164" s="18">
        <v>162376.0</v>
      </c>
      <c r="F164" s="18">
        <v>141744.0</v>
      </c>
      <c r="G164" s="8">
        <v>0.8117</v>
      </c>
      <c r="H164" s="18">
        <v>1008.0</v>
      </c>
      <c r="I164" s="8">
        <v>0.0071</v>
      </c>
      <c r="J164" s="3">
        <v>265.0</v>
      </c>
      <c r="K164" s="9">
        <v>0.0019</v>
      </c>
      <c r="L164" s="1">
        <v>339.0</v>
      </c>
      <c r="M164" s="8">
        <v>0.0019</v>
      </c>
      <c r="N164" s="1">
        <v>1.0</v>
      </c>
      <c r="O164" s="8">
        <v>9.9E-4</v>
      </c>
      <c r="P164" s="1">
        <v>144.0</v>
      </c>
      <c r="Q164" s="1">
        <v>3.0</v>
      </c>
      <c r="R164" s="8">
        <v>0.0208</v>
      </c>
      <c r="S164" s="1" t="s">
        <v>345</v>
      </c>
      <c r="T164" s="1" t="s">
        <v>23</v>
      </c>
      <c r="U164" s="11">
        <f t="shared" si="1"/>
        <v>99.58655299</v>
      </c>
      <c r="V164" s="12"/>
      <c r="W164" s="12"/>
      <c r="X164" s="12"/>
      <c r="Y164" s="6"/>
      <c r="Z164" s="5"/>
    </row>
    <row r="165">
      <c r="A165" s="14">
        <v>46036.0</v>
      </c>
      <c r="B165" s="1" t="s">
        <v>346</v>
      </c>
      <c r="C165" s="18">
        <v>174916.0</v>
      </c>
      <c r="D165" s="18">
        <v>174225.0</v>
      </c>
      <c r="E165" s="18">
        <v>104054.0</v>
      </c>
      <c r="F165" s="18">
        <v>87714.0</v>
      </c>
      <c r="G165" s="8">
        <v>0.5035</v>
      </c>
      <c r="H165" s="1">
        <v>825.0</v>
      </c>
      <c r="I165" s="8">
        <v>0.0094</v>
      </c>
      <c r="J165" s="3">
        <v>261.0</v>
      </c>
      <c r="K165" s="9">
        <v>0.003</v>
      </c>
      <c r="L165" s="1">
        <v>306.0</v>
      </c>
      <c r="M165" s="8">
        <v>0.0018</v>
      </c>
      <c r="N165" s="1">
        <v>0.0</v>
      </c>
      <c r="O165" s="8">
        <v>0.0</v>
      </c>
      <c r="P165" s="1">
        <v>156.0</v>
      </c>
      <c r="Q165" s="1">
        <v>4.0</v>
      </c>
      <c r="R165" s="8">
        <v>0.0256</v>
      </c>
      <c r="S165" s="1" t="s">
        <v>347</v>
      </c>
      <c r="T165" s="1" t="s">
        <v>23</v>
      </c>
      <c r="U165" s="11">
        <f t="shared" si="1"/>
        <v>99.60495323</v>
      </c>
      <c r="V165" s="12"/>
      <c r="W165" s="12"/>
      <c r="X165" s="12"/>
      <c r="Y165" s="6"/>
      <c r="Z165" s="5"/>
    </row>
    <row r="166">
      <c r="A166" s="14">
        <v>46037.0</v>
      </c>
      <c r="B166" s="1" t="s">
        <v>348</v>
      </c>
      <c r="C166" s="18">
        <v>185077.0</v>
      </c>
      <c r="D166" s="18">
        <v>184258.0</v>
      </c>
      <c r="E166" s="18">
        <v>77946.0</v>
      </c>
      <c r="F166" s="18">
        <v>62908.0</v>
      </c>
      <c r="G166" s="8">
        <v>0.3414</v>
      </c>
      <c r="H166" s="18">
        <v>1344.0</v>
      </c>
      <c r="I166" s="8">
        <v>0.0214</v>
      </c>
      <c r="J166" s="3">
        <v>399.0</v>
      </c>
      <c r="K166" s="9">
        <v>0.0063</v>
      </c>
      <c r="L166" s="1">
        <v>434.0</v>
      </c>
      <c r="M166" s="8">
        <v>0.0024</v>
      </c>
      <c r="N166" s="1">
        <v>0.0</v>
      </c>
      <c r="O166" s="8">
        <v>0.0</v>
      </c>
      <c r="P166" s="1">
        <v>384.0</v>
      </c>
      <c r="Q166" s="1">
        <v>3.0</v>
      </c>
      <c r="R166" s="8">
        <v>0.0078</v>
      </c>
      <c r="S166" s="1" t="s">
        <v>349</v>
      </c>
      <c r="T166" s="1" t="s">
        <v>23</v>
      </c>
      <c r="U166" s="11">
        <f t="shared" si="1"/>
        <v>99.55748148</v>
      </c>
      <c r="V166" s="12"/>
      <c r="W166" s="12"/>
      <c r="X166" s="12"/>
      <c r="Y166" s="6"/>
      <c r="Z166" s="5"/>
    </row>
    <row r="167">
      <c r="A167" s="14">
        <v>46038.0</v>
      </c>
      <c r="B167" s="1" t="s">
        <v>350</v>
      </c>
      <c r="C167" s="18">
        <v>184474.0</v>
      </c>
      <c r="D167" s="18">
        <v>183479.0</v>
      </c>
      <c r="E167" s="18">
        <v>69799.0</v>
      </c>
      <c r="F167" s="18">
        <v>55624.0</v>
      </c>
      <c r="G167" s="8">
        <v>0.3032</v>
      </c>
      <c r="H167" s="1">
        <v>538.0</v>
      </c>
      <c r="I167" s="8">
        <v>0.0097</v>
      </c>
      <c r="J167" s="3">
        <v>250.0</v>
      </c>
      <c r="K167" s="9">
        <v>0.0045</v>
      </c>
      <c r="L167" s="1">
        <v>263.0</v>
      </c>
      <c r="M167" s="8">
        <v>0.0014</v>
      </c>
      <c r="N167" s="1">
        <v>0.0</v>
      </c>
      <c r="O167" s="8">
        <v>0.0</v>
      </c>
      <c r="P167" s="1">
        <v>199.0</v>
      </c>
      <c r="Q167" s="1">
        <v>2.0</v>
      </c>
      <c r="R167" s="8">
        <v>0.0101</v>
      </c>
      <c r="S167" s="1" t="s">
        <v>351</v>
      </c>
      <c r="T167" s="1" t="s">
        <v>23</v>
      </c>
      <c r="U167" s="11">
        <f t="shared" si="1"/>
        <v>99.4606286</v>
      </c>
      <c r="V167" s="12"/>
      <c r="W167" s="12"/>
      <c r="X167" s="12"/>
      <c r="Y167" s="6"/>
      <c r="Z167" s="5"/>
    </row>
    <row r="168">
      <c r="A168" s="14">
        <v>46039.0</v>
      </c>
      <c r="B168" s="1" t="s">
        <v>352</v>
      </c>
      <c r="C168" s="18">
        <v>187927.0</v>
      </c>
      <c r="D168" s="18">
        <v>185511.0</v>
      </c>
      <c r="E168" s="18">
        <v>99932.0</v>
      </c>
      <c r="F168" s="18">
        <v>83095.0</v>
      </c>
      <c r="G168" s="8">
        <v>0.4479</v>
      </c>
      <c r="H168" s="18">
        <v>1742.0</v>
      </c>
      <c r="I168" s="8">
        <v>0.021</v>
      </c>
      <c r="J168" s="3">
        <v>297.0</v>
      </c>
      <c r="K168" s="9">
        <v>0.0036</v>
      </c>
      <c r="L168" s="1">
        <v>321.0</v>
      </c>
      <c r="M168" s="8">
        <v>0.0017</v>
      </c>
      <c r="N168" s="1">
        <v>0.0</v>
      </c>
      <c r="O168" s="8">
        <v>0.0</v>
      </c>
      <c r="P168" s="1">
        <v>936.0</v>
      </c>
      <c r="Q168" s="1">
        <v>3.0</v>
      </c>
      <c r="R168" s="8">
        <v>0.0032</v>
      </c>
      <c r="S168" s="1" t="s">
        <v>353</v>
      </c>
      <c r="T168" s="1" t="s">
        <v>354</v>
      </c>
      <c r="U168" s="11">
        <f t="shared" si="1"/>
        <v>98.71439442</v>
      </c>
      <c r="V168" s="12"/>
      <c r="W168" s="12"/>
      <c r="X168" s="12"/>
      <c r="Y168" s="6"/>
      <c r="Z168" s="5"/>
    </row>
    <row r="169">
      <c r="A169" s="14">
        <v>46041.0</v>
      </c>
      <c r="B169" s="1" t="s">
        <v>355</v>
      </c>
      <c r="C169" s="18">
        <v>186145.0</v>
      </c>
      <c r="D169" s="18">
        <v>184984.0</v>
      </c>
      <c r="E169" s="18">
        <v>158268.0</v>
      </c>
      <c r="F169" s="18">
        <v>133324.0</v>
      </c>
      <c r="G169" s="8">
        <v>0.7207</v>
      </c>
      <c r="H169" s="1">
        <v>915.0</v>
      </c>
      <c r="I169" s="8">
        <v>0.0069</v>
      </c>
      <c r="J169" s="3">
        <v>297.0</v>
      </c>
      <c r="K169" s="9">
        <v>0.0022</v>
      </c>
      <c r="L169" s="1">
        <v>344.0</v>
      </c>
      <c r="M169" s="8">
        <v>0.0019</v>
      </c>
      <c r="N169" s="1">
        <v>0.0</v>
      </c>
      <c r="O169" s="8">
        <v>0.0</v>
      </c>
      <c r="P169" s="1">
        <v>486.0</v>
      </c>
      <c r="Q169" s="1">
        <v>1.0</v>
      </c>
      <c r="R169" s="8">
        <v>0.0021</v>
      </c>
      <c r="S169" s="1" t="s">
        <v>356</v>
      </c>
      <c r="T169" s="1" t="s">
        <v>23</v>
      </c>
      <c r="U169" s="11">
        <f t="shared" si="1"/>
        <v>99.37629268</v>
      </c>
      <c r="V169" s="12"/>
      <c r="W169" s="12"/>
      <c r="X169" s="12"/>
      <c r="Y169" s="6"/>
      <c r="Z169" s="5"/>
    </row>
    <row r="170">
      <c r="A170" s="14">
        <v>46042.0</v>
      </c>
      <c r="B170" s="1" t="s">
        <v>357</v>
      </c>
      <c r="C170" s="18">
        <v>191666.0</v>
      </c>
      <c r="D170" s="18">
        <v>190557.0</v>
      </c>
      <c r="E170" s="18">
        <v>134552.0</v>
      </c>
      <c r="F170" s="18">
        <v>116751.0</v>
      </c>
      <c r="G170" s="8">
        <v>0.6127</v>
      </c>
      <c r="H170" s="18">
        <v>1011.0</v>
      </c>
      <c r="I170" s="8">
        <v>0.0087</v>
      </c>
      <c r="J170" s="3">
        <v>426.0</v>
      </c>
      <c r="K170" s="9">
        <v>0.0036</v>
      </c>
      <c r="L170" s="1">
        <v>340.0</v>
      </c>
      <c r="M170" s="8">
        <v>0.0018</v>
      </c>
      <c r="N170" s="1">
        <v>0.0</v>
      </c>
      <c r="O170" s="8">
        <v>0.0</v>
      </c>
      <c r="P170" s="1">
        <v>640.0</v>
      </c>
      <c r="Q170" s="1">
        <v>3.0</v>
      </c>
      <c r="R170" s="8">
        <v>0.0047</v>
      </c>
      <c r="S170" s="1" t="s">
        <v>358</v>
      </c>
      <c r="T170" s="1" t="s">
        <v>23</v>
      </c>
      <c r="U170" s="11">
        <f t="shared" si="1"/>
        <v>99.42138929</v>
      </c>
      <c r="V170" s="12"/>
      <c r="W170" s="12"/>
      <c r="X170" s="12"/>
      <c r="Y170" s="6"/>
      <c r="Z170" s="5"/>
    </row>
    <row r="171">
      <c r="A171" s="14">
        <v>46043.0</v>
      </c>
      <c r="B171" s="1" t="s">
        <v>359</v>
      </c>
      <c r="C171" s="18">
        <v>203209.0</v>
      </c>
      <c r="D171" s="18">
        <v>202261.0</v>
      </c>
      <c r="E171" s="18">
        <v>114791.0</v>
      </c>
      <c r="F171" s="18">
        <v>98477.0</v>
      </c>
      <c r="G171" s="8">
        <v>0.4869</v>
      </c>
      <c r="H171" s="18">
        <v>1849.0</v>
      </c>
      <c r="I171" s="8">
        <v>0.0188</v>
      </c>
      <c r="J171" s="3">
        <v>557.0</v>
      </c>
      <c r="K171" s="9">
        <v>0.0057</v>
      </c>
      <c r="L171" s="1">
        <v>569.0</v>
      </c>
      <c r="M171" s="8">
        <v>0.0028</v>
      </c>
      <c r="N171" s="1">
        <v>0.0</v>
      </c>
      <c r="O171" s="8">
        <v>0.0</v>
      </c>
      <c r="P171" s="1">
        <v>543.0</v>
      </c>
      <c r="Q171" s="1">
        <v>2.0</v>
      </c>
      <c r="R171" s="8">
        <v>0.0037</v>
      </c>
      <c r="S171" s="1" t="s">
        <v>360</v>
      </c>
      <c r="T171" s="1" t="s">
        <v>23</v>
      </c>
      <c r="U171" s="11">
        <f t="shared" si="1"/>
        <v>99.53348523</v>
      </c>
      <c r="V171" s="12"/>
      <c r="W171" s="12"/>
      <c r="X171" s="12"/>
      <c r="Y171" s="6"/>
      <c r="Z171" s="5"/>
    </row>
    <row r="172">
      <c r="A172" s="14">
        <v>46044.0</v>
      </c>
      <c r="B172" s="1" t="s">
        <v>361</v>
      </c>
      <c r="C172" s="18">
        <v>149832.0</v>
      </c>
      <c r="D172" s="18">
        <v>149657.0</v>
      </c>
      <c r="E172" s="18">
        <v>110629.0</v>
      </c>
      <c r="F172" s="18">
        <v>97202.0</v>
      </c>
      <c r="G172" s="8">
        <v>0.6495</v>
      </c>
      <c r="H172" s="18">
        <v>1249.0</v>
      </c>
      <c r="I172" s="8">
        <v>0.0128</v>
      </c>
      <c r="J172" s="3">
        <v>241.0</v>
      </c>
      <c r="K172" s="9">
        <v>0.0025</v>
      </c>
      <c r="L172" s="1">
        <v>324.0</v>
      </c>
      <c r="M172" s="8">
        <v>0.0022</v>
      </c>
      <c r="N172" s="1">
        <v>0.0</v>
      </c>
      <c r="O172" s="8">
        <v>0.0</v>
      </c>
      <c r="P172" s="1">
        <v>135.0</v>
      </c>
      <c r="Q172" s="1">
        <v>2.0</v>
      </c>
      <c r="R172" s="8">
        <v>0.0148</v>
      </c>
      <c r="S172" s="1" t="s">
        <v>362</v>
      </c>
      <c r="T172" s="1" t="s">
        <v>23</v>
      </c>
      <c r="U172" s="11">
        <f t="shared" si="1"/>
        <v>99.88320252</v>
      </c>
      <c r="V172" s="12"/>
      <c r="W172" s="12"/>
      <c r="X172" s="12"/>
      <c r="Y172" s="6"/>
      <c r="Z172" s="5"/>
    </row>
    <row r="173">
      <c r="A173" s="14">
        <v>46045.0</v>
      </c>
      <c r="B173" s="1" t="s">
        <v>363</v>
      </c>
      <c r="C173" s="18">
        <v>192596.0</v>
      </c>
      <c r="D173" s="18">
        <v>191414.0</v>
      </c>
      <c r="E173" s="18">
        <v>84843.0</v>
      </c>
      <c r="F173" s="18">
        <v>72075.0</v>
      </c>
      <c r="G173" s="8">
        <v>0.3765</v>
      </c>
      <c r="H173" s="18">
        <v>1063.0</v>
      </c>
      <c r="I173" s="8">
        <v>0.0147</v>
      </c>
      <c r="J173" s="3">
        <v>251.0</v>
      </c>
      <c r="K173" s="9">
        <v>0.0035</v>
      </c>
      <c r="L173" s="1">
        <v>220.0</v>
      </c>
      <c r="M173" s="8">
        <v>0.0011</v>
      </c>
      <c r="N173" s="1">
        <v>0.0</v>
      </c>
      <c r="O173" s="8">
        <v>0.0</v>
      </c>
      <c r="P173" s="1">
        <v>185.0</v>
      </c>
      <c r="Q173" s="1">
        <v>0.0</v>
      </c>
      <c r="R173" s="8">
        <v>0.0</v>
      </c>
      <c r="S173" s="1" t="s">
        <v>364</v>
      </c>
      <c r="T173" s="1" t="s">
        <v>23</v>
      </c>
      <c r="U173" s="11">
        <f t="shared" si="1"/>
        <v>99.38628009</v>
      </c>
      <c r="V173" s="12"/>
      <c r="W173" s="12"/>
      <c r="X173" s="12"/>
      <c r="Y173" s="6"/>
      <c r="Z173" s="5"/>
    </row>
    <row r="174">
      <c r="A174" s="14">
        <v>46048.0</v>
      </c>
      <c r="B174" s="1" t="s">
        <v>365</v>
      </c>
      <c r="C174" s="18">
        <v>189656.0</v>
      </c>
      <c r="D174" s="18">
        <v>188248.0</v>
      </c>
      <c r="E174" s="18">
        <v>73517.0</v>
      </c>
      <c r="F174" s="18">
        <v>58867.0</v>
      </c>
      <c r="G174" s="8">
        <v>0.3127</v>
      </c>
      <c r="H174" s="1">
        <v>657.0</v>
      </c>
      <c r="I174" s="8">
        <v>0.0112</v>
      </c>
      <c r="J174" s="3">
        <v>303.0</v>
      </c>
      <c r="K174" s="9">
        <v>0.0051</v>
      </c>
      <c r="L174" s="1">
        <v>247.0</v>
      </c>
      <c r="M174" s="8">
        <v>0.0013</v>
      </c>
      <c r="N174" s="1">
        <v>0.0</v>
      </c>
      <c r="O174" s="8">
        <v>0.0</v>
      </c>
      <c r="P174" s="1">
        <v>261.0</v>
      </c>
      <c r="Q174" s="1">
        <v>2.0</v>
      </c>
      <c r="R174" s="8">
        <v>0.0077</v>
      </c>
      <c r="S174" s="1" t="s">
        <v>366</v>
      </c>
      <c r="T174" s="1" t="s">
        <v>23</v>
      </c>
      <c r="U174" s="11">
        <f t="shared" si="1"/>
        <v>99.25760324</v>
      </c>
      <c r="V174" s="12"/>
      <c r="W174" s="12"/>
      <c r="X174" s="12"/>
      <c r="Y174" s="6"/>
      <c r="Z174" s="5"/>
    </row>
    <row r="175">
      <c r="A175" s="14">
        <v>46049.0</v>
      </c>
      <c r="B175" s="1" t="s">
        <v>367</v>
      </c>
      <c r="C175" s="18">
        <v>189295.0</v>
      </c>
      <c r="D175" s="18">
        <v>187481.0</v>
      </c>
      <c r="E175" s="18">
        <v>55792.0</v>
      </c>
      <c r="F175" s="18">
        <v>46285.0</v>
      </c>
      <c r="G175" s="8">
        <v>0.2469</v>
      </c>
      <c r="H175" s="1">
        <v>486.0</v>
      </c>
      <c r="I175" s="8">
        <v>0.0105</v>
      </c>
      <c r="J175" s="3">
        <v>217.0</v>
      </c>
      <c r="K175" s="9">
        <v>0.0047</v>
      </c>
      <c r="L175" s="1">
        <v>215.0</v>
      </c>
      <c r="M175" s="8">
        <v>0.0011</v>
      </c>
      <c r="N175" s="1">
        <v>0.0</v>
      </c>
      <c r="O175" s="8">
        <v>0.0</v>
      </c>
      <c r="P175" s="1">
        <v>163.0</v>
      </c>
      <c r="Q175" s="1">
        <v>0.0</v>
      </c>
      <c r="R175" s="8">
        <v>0.0</v>
      </c>
      <c r="S175" s="1" t="s">
        <v>368</v>
      </c>
      <c r="T175" s="1" t="s">
        <v>23</v>
      </c>
      <c r="U175" s="11">
        <f t="shared" si="1"/>
        <v>99.04170739</v>
      </c>
      <c r="V175" s="12"/>
      <c r="W175" s="12"/>
      <c r="X175" s="12"/>
      <c r="Y175" s="6"/>
      <c r="Z175" s="5"/>
    </row>
    <row r="176">
      <c r="G176" s="13"/>
      <c r="I176" s="10"/>
      <c r="J176" s="17"/>
      <c r="K176" s="17"/>
      <c r="M176" s="10"/>
      <c r="O176" s="10"/>
      <c r="R176" s="10"/>
      <c r="U176" s="11"/>
      <c r="V176" s="12"/>
      <c r="W176" s="12"/>
      <c r="X176" s="12"/>
      <c r="Y176" s="6"/>
      <c r="Z176" s="5"/>
    </row>
    <row r="177">
      <c r="G177" s="13"/>
      <c r="I177" s="10"/>
      <c r="J177" s="17"/>
      <c r="K177" s="17"/>
      <c r="M177" s="10"/>
      <c r="O177" s="10"/>
      <c r="R177" s="10"/>
      <c r="U177" s="11"/>
      <c r="V177" s="12"/>
      <c r="W177" s="12"/>
      <c r="X177" s="12"/>
      <c r="Y177" s="6"/>
      <c r="Z177" s="5"/>
    </row>
    <row r="178">
      <c r="G178" s="13"/>
      <c r="I178" s="10"/>
      <c r="J178" s="17"/>
      <c r="K178" s="17"/>
      <c r="M178" s="10"/>
      <c r="O178" s="10"/>
      <c r="R178" s="10"/>
      <c r="U178" s="11"/>
      <c r="V178" s="12"/>
      <c r="W178" s="12"/>
      <c r="X178" s="12"/>
      <c r="Y178" s="6"/>
      <c r="Z178" s="5"/>
    </row>
    <row r="179">
      <c r="G179" s="13"/>
      <c r="I179" s="10"/>
      <c r="J179" s="17"/>
      <c r="K179" s="17"/>
      <c r="M179" s="10"/>
      <c r="O179" s="13"/>
      <c r="R179" s="13"/>
      <c r="U179" s="11"/>
      <c r="V179" s="12"/>
      <c r="W179" s="12"/>
      <c r="X179" s="12"/>
      <c r="Y179" s="6"/>
      <c r="Z179" s="5"/>
    </row>
    <row r="180">
      <c r="G180" s="13"/>
      <c r="I180" s="10"/>
      <c r="J180" s="17"/>
      <c r="K180" s="17"/>
      <c r="M180" s="10"/>
      <c r="O180" s="13"/>
      <c r="R180" s="13"/>
      <c r="U180" s="11"/>
      <c r="V180" s="12"/>
      <c r="W180" s="12"/>
      <c r="X180" s="12"/>
      <c r="Y180" s="6"/>
      <c r="Z180" s="5"/>
    </row>
    <row r="181">
      <c r="G181" s="13"/>
      <c r="I181" s="10"/>
      <c r="J181" s="17"/>
      <c r="K181" s="17"/>
      <c r="M181" s="10"/>
      <c r="O181" s="10"/>
      <c r="R181" s="10"/>
      <c r="U181" s="11"/>
      <c r="V181" s="12"/>
      <c r="W181" s="12"/>
      <c r="X181" s="12"/>
      <c r="Y181" s="6"/>
      <c r="Z181" s="5"/>
    </row>
    <row r="182">
      <c r="G182" s="13"/>
      <c r="I182" s="10"/>
      <c r="J182" s="17"/>
      <c r="K182" s="17"/>
      <c r="M182" s="10"/>
      <c r="O182" s="10"/>
      <c r="R182" s="13"/>
      <c r="U182" s="11"/>
      <c r="V182" s="12"/>
      <c r="W182" s="12"/>
      <c r="X182" s="12"/>
      <c r="Y182" s="6"/>
      <c r="Z182" s="5"/>
    </row>
    <row r="183">
      <c r="G183" s="13"/>
      <c r="I183" s="10"/>
      <c r="J183" s="17"/>
      <c r="K183" s="17"/>
      <c r="M183" s="10"/>
      <c r="O183" s="10"/>
      <c r="R183" s="10"/>
      <c r="U183" s="11"/>
      <c r="V183" s="12"/>
      <c r="W183" s="12"/>
      <c r="X183" s="12"/>
      <c r="Y183" s="6"/>
      <c r="Z183" s="5"/>
    </row>
    <row r="184">
      <c r="G184" s="13"/>
      <c r="I184" s="10"/>
      <c r="J184" s="17"/>
      <c r="K184" s="17"/>
      <c r="M184" s="10"/>
      <c r="O184" s="10"/>
      <c r="R184" s="10"/>
      <c r="U184" s="11"/>
      <c r="V184" s="12"/>
      <c r="W184" s="12"/>
      <c r="X184" s="12"/>
      <c r="Y184" s="6"/>
      <c r="Z184" s="5"/>
    </row>
    <row r="185">
      <c r="G185" s="13"/>
      <c r="I185" s="10"/>
      <c r="J185" s="17"/>
      <c r="K185" s="17"/>
      <c r="M185" s="10"/>
      <c r="O185" s="13"/>
      <c r="R185" s="10"/>
      <c r="U185" s="11"/>
      <c r="V185" s="12"/>
      <c r="W185" s="12"/>
      <c r="X185" s="12"/>
      <c r="Y185" s="6"/>
      <c r="Z185" s="5"/>
    </row>
    <row r="186">
      <c r="G186" s="13"/>
      <c r="I186" s="10"/>
      <c r="J186" s="17"/>
      <c r="K186" s="17"/>
      <c r="M186" s="10"/>
      <c r="O186" s="10"/>
      <c r="R186" s="10"/>
      <c r="U186" s="11"/>
      <c r="V186" s="12"/>
      <c r="W186" s="12"/>
      <c r="X186" s="12"/>
      <c r="Y186" s="6"/>
      <c r="Z186" s="5"/>
    </row>
    <row r="187">
      <c r="G187" s="13"/>
      <c r="I187" s="10"/>
      <c r="J187" s="17"/>
      <c r="K187" s="17"/>
      <c r="M187" s="10"/>
      <c r="O187" s="13"/>
      <c r="R187" s="13"/>
      <c r="U187" s="11"/>
      <c r="V187" s="12"/>
      <c r="W187" s="12"/>
      <c r="X187" s="12"/>
      <c r="Y187" s="6"/>
      <c r="Z187" s="5"/>
    </row>
    <row r="188">
      <c r="G188" s="13"/>
      <c r="I188" s="10"/>
      <c r="J188" s="17"/>
      <c r="K188" s="17"/>
      <c r="M188" s="10"/>
      <c r="O188" s="10"/>
      <c r="R188" s="10"/>
      <c r="U188" s="11"/>
      <c r="V188" s="12"/>
      <c r="W188" s="12"/>
      <c r="X188" s="12"/>
      <c r="Y188" s="6"/>
      <c r="Z188" s="5"/>
    </row>
    <row r="189">
      <c r="G189" s="13"/>
      <c r="I189" s="10"/>
      <c r="J189" s="17"/>
      <c r="K189" s="17"/>
      <c r="M189" s="10"/>
      <c r="O189" s="10"/>
      <c r="R189" s="10"/>
      <c r="U189" s="11"/>
      <c r="V189" s="12"/>
      <c r="W189" s="12"/>
      <c r="X189" s="12"/>
      <c r="Y189" s="6"/>
      <c r="Z189" s="5"/>
    </row>
    <row r="190">
      <c r="G190" s="13"/>
      <c r="I190" s="10"/>
      <c r="J190" s="17"/>
      <c r="K190" s="17"/>
      <c r="M190" s="10"/>
      <c r="O190" s="10"/>
      <c r="R190" s="10"/>
      <c r="U190" s="11"/>
      <c r="V190" s="12"/>
      <c r="W190" s="12"/>
      <c r="X190" s="12"/>
      <c r="Y190" s="6"/>
      <c r="Z190" s="5"/>
    </row>
    <row r="191">
      <c r="G191" s="13"/>
      <c r="I191" s="10"/>
      <c r="J191" s="17"/>
      <c r="K191" s="17"/>
      <c r="M191" s="10"/>
      <c r="O191" s="10"/>
      <c r="R191" s="10"/>
      <c r="U191" s="11"/>
      <c r="V191" s="12"/>
      <c r="W191" s="12"/>
      <c r="X191" s="12"/>
      <c r="Y191" s="6"/>
      <c r="Z191" s="5"/>
    </row>
    <row r="192">
      <c r="G192" s="13"/>
      <c r="I192" s="10"/>
      <c r="J192" s="17"/>
      <c r="K192" s="17"/>
      <c r="M192" s="10"/>
      <c r="O192" s="10"/>
      <c r="R192" s="10"/>
      <c r="U192" s="11"/>
      <c r="V192" s="12"/>
      <c r="W192" s="12"/>
      <c r="X192" s="12"/>
      <c r="Y192" s="6"/>
      <c r="Z192" s="5"/>
    </row>
    <row r="193">
      <c r="G193" s="13"/>
      <c r="I193" s="10"/>
      <c r="J193" s="17"/>
      <c r="K193" s="17"/>
      <c r="M193" s="10"/>
      <c r="O193" s="10"/>
      <c r="R193" s="10"/>
      <c r="U193" s="11"/>
      <c r="V193" s="12"/>
      <c r="W193" s="12"/>
      <c r="X193" s="12"/>
      <c r="Y193" s="6"/>
      <c r="Z193" s="5"/>
    </row>
    <row r="194">
      <c r="G194" s="13"/>
      <c r="I194" s="10"/>
      <c r="J194" s="17"/>
      <c r="K194" s="17"/>
      <c r="M194" s="10"/>
      <c r="O194" s="10"/>
      <c r="R194" s="10"/>
      <c r="U194" s="11"/>
      <c r="V194" s="12"/>
      <c r="W194" s="12"/>
      <c r="X194" s="12"/>
      <c r="Y194" s="6"/>
      <c r="Z194" s="5"/>
    </row>
    <row r="195">
      <c r="G195" s="13"/>
      <c r="I195" s="10"/>
      <c r="J195" s="17"/>
      <c r="K195" s="17"/>
      <c r="M195" s="10"/>
      <c r="O195" s="10"/>
      <c r="R195" s="10"/>
      <c r="U195" s="11"/>
      <c r="V195" s="12"/>
      <c r="W195" s="12"/>
      <c r="X195" s="12"/>
      <c r="Y195" s="6"/>
      <c r="Z195" s="5"/>
    </row>
    <row r="196">
      <c r="G196" s="13"/>
      <c r="I196" s="10"/>
      <c r="J196" s="17"/>
      <c r="K196" s="17"/>
      <c r="M196" s="10"/>
      <c r="O196" s="10"/>
      <c r="R196" s="10"/>
      <c r="U196" s="11"/>
      <c r="V196" s="12"/>
      <c r="W196" s="12"/>
      <c r="X196" s="12"/>
      <c r="Y196" s="6"/>
      <c r="Z196" s="5"/>
    </row>
    <row r="197">
      <c r="G197" s="13"/>
      <c r="I197" s="10"/>
      <c r="J197" s="17"/>
      <c r="K197" s="17"/>
      <c r="M197" s="10"/>
      <c r="O197" s="10"/>
      <c r="R197" s="10"/>
      <c r="U197" s="11"/>
      <c r="V197" s="12"/>
      <c r="W197" s="12"/>
      <c r="X197" s="12"/>
      <c r="Y197" s="6"/>
      <c r="Z197" s="5"/>
    </row>
    <row r="198">
      <c r="G198" s="13"/>
      <c r="I198" s="10"/>
      <c r="J198" s="17"/>
      <c r="K198" s="17"/>
      <c r="M198" s="10"/>
      <c r="O198" s="10"/>
      <c r="R198" s="10"/>
      <c r="U198" s="11"/>
      <c r="V198" s="12"/>
      <c r="W198" s="12"/>
      <c r="X198" s="12"/>
      <c r="Y198" s="6"/>
      <c r="Z198" s="5"/>
    </row>
    <row r="199">
      <c r="G199" s="13"/>
      <c r="I199" s="10"/>
      <c r="J199" s="17"/>
      <c r="K199" s="17"/>
      <c r="M199" s="10"/>
      <c r="O199" s="10"/>
      <c r="R199" s="10"/>
      <c r="U199" s="11"/>
      <c r="V199" s="12"/>
      <c r="W199" s="12"/>
      <c r="X199" s="12"/>
      <c r="Y199" s="6"/>
      <c r="Z199" s="5"/>
    </row>
    <row r="200">
      <c r="G200" s="13"/>
      <c r="I200" s="10"/>
      <c r="J200" s="17"/>
      <c r="K200" s="17"/>
      <c r="M200" s="10"/>
      <c r="O200" s="10"/>
      <c r="R200" s="10"/>
      <c r="U200" s="11"/>
      <c r="V200" s="12"/>
      <c r="W200" s="12"/>
      <c r="X200" s="12"/>
      <c r="Y200" s="6"/>
      <c r="Z200" s="5"/>
    </row>
    <row r="201">
      <c r="G201" s="13"/>
      <c r="I201" s="10"/>
      <c r="J201" s="17"/>
      <c r="K201" s="17"/>
      <c r="M201" s="10"/>
      <c r="O201" s="10"/>
      <c r="R201" s="10"/>
      <c r="U201" s="11"/>
      <c r="V201" s="12"/>
      <c r="W201" s="12"/>
      <c r="X201" s="12"/>
      <c r="Y201" s="6"/>
      <c r="Z201" s="5"/>
    </row>
    <row r="202">
      <c r="G202" s="13"/>
      <c r="I202" s="10"/>
      <c r="J202" s="17"/>
      <c r="K202" s="17"/>
      <c r="M202" s="10"/>
      <c r="O202" s="10"/>
      <c r="R202" s="10"/>
      <c r="U202" s="11"/>
      <c r="V202" s="12"/>
      <c r="W202" s="12"/>
      <c r="X202" s="12"/>
      <c r="Y202" s="6"/>
      <c r="Z202" s="5"/>
    </row>
    <row r="203">
      <c r="G203" s="13"/>
      <c r="I203" s="10"/>
      <c r="J203" s="17"/>
      <c r="K203" s="17"/>
      <c r="M203" s="10"/>
      <c r="O203" s="10"/>
      <c r="R203" s="10"/>
      <c r="U203" s="11"/>
      <c r="V203" s="12"/>
      <c r="W203" s="12"/>
      <c r="X203" s="12"/>
      <c r="Y203" s="6"/>
      <c r="Z203" s="5"/>
    </row>
    <row r="204">
      <c r="G204" s="13"/>
      <c r="I204" s="10"/>
      <c r="J204" s="17"/>
      <c r="K204" s="17"/>
      <c r="M204" s="10"/>
      <c r="O204" s="10"/>
      <c r="R204" s="10"/>
      <c r="U204" s="11"/>
      <c r="V204" s="12"/>
      <c r="W204" s="12"/>
      <c r="X204" s="12"/>
      <c r="Y204" s="6"/>
      <c r="Z204" s="5"/>
    </row>
    <row r="205">
      <c r="G205" s="13"/>
      <c r="I205" s="10"/>
      <c r="J205" s="17"/>
      <c r="K205" s="17"/>
      <c r="M205" s="10"/>
      <c r="O205" s="10"/>
      <c r="R205" s="10"/>
      <c r="U205" s="11"/>
      <c r="V205" s="12"/>
      <c r="W205" s="12"/>
      <c r="X205" s="12"/>
      <c r="Y205" s="6"/>
      <c r="Z205" s="5"/>
    </row>
    <row r="206">
      <c r="G206" s="13"/>
      <c r="I206" s="10"/>
      <c r="J206" s="17"/>
      <c r="K206" s="17"/>
      <c r="M206" s="10"/>
      <c r="O206" s="10"/>
      <c r="R206" s="10"/>
      <c r="U206" s="11"/>
      <c r="V206" s="12"/>
      <c r="W206" s="12"/>
      <c r="X206" s="12"/>
      <c r="Y206" s="6"/>
      <c r="Z206" s="5"/>
    </row>
    <row r="207">
      <c r="G207" s="13"/>
      <c r="I207" s="10"/>
      <c r="J207" s="17"/>
      <c r="K207" s="17"/>
      <c r="M207" s="10"/>
      <c r="O207" s="10"/>
      <c r="R207" s="10"/>
      <c r="U207" s="11"/>
      <c r="V207" s="12"/>
      <c r="W207" s="12"/>
      <c r="X207" s="12"/>
      <c r="Y207" s="6"/>
      <c r="Z207" s="5"/>
    </row>
    <row r="208">
      <c r="G208" s="13"/>
      <c r="I208" s="10"/>
      <c r="J208" s="17"/>
      <c r="K208" s="17"/>
      <c r="M208" s="10"/>
      <c r="O208" s="10"/>
      <c r="R208" s="10"/>
      <c r="U208" s="11"/>
      <c r="V208" s="12"/>
      <c r="W208" s="12"/>
      <c r="X208" s="12"/>
      <c r="Y208" s="6"/>
      <c r="Z208" s="5"/>
    </row>
    <row r="209">
      <c r="G209" s="13"/>
      <c r="I209" s="10"/>
      <c r="J209" s="17"/>
      <c r="K209" s="17"/>
      <c r="M209" s="10"/>
      <c r="O209" s="10"/>
      <c r="R209" s="10"/>
      <c r="U209" s="11"/>
      <c r="V209" s="12"/>
      <c r="W209" s="12"/>
      <c r="X209" s="12"/>
      <c r="Y209" s="6"/>
      <c r="Z209" s="5"/>
    </row>
    <row r="210">
      <c r="G210" s="13"/>
      <c r="I210" s="10"/>
      <c r="J210" s="17"/>
      <c r="K210" s="17"/>
      <c r="M210" s="10"/>
      <c r="O210" s="10"/>
      <c r="R210" s="10"/>
      <c r="U210" s="11"/>
      <c r="V210" s="12"/>
      <c r="W210" s="12"/>
      <c r="X210" s="12"/>
      <c r="Y210" s="6"/>
      <c r="Z210" s="5"/>
    </row>
    <row r="211">
      <c r="G211" s="13"/>
      <c r="I211" s="10"/>
      <c r="J211" s="17"/>
      <c r="K211" s="17"/>
      <c r="M211" s="10"/>
      <c r="O211" s="10"/>
      <c r="R211" s="10"/>
      <c r="U211" s="11"/>
      <c r="V211" s="12"/>
      <c r="W211" s="12"/>
      <c r="X211" s="12"/>
      <c r="Y211" s="6"/>
      <c r="Z211" s="5"/>
    </row>
    <row r="212">
      <c r="G212" s="13"/>
      <c r="I212" s="10"/>
      <c r="J212" s="17"/>
      <c r="K212" s="17"/>
      <c r="M212" s="10"/>
      <c r="O212" s="10"/>
      <c r="R212" s="10"/>
      <c r="U212" s="11"/>
      <c r="V212" s="12"/>
      <c r="W212" s="12"/>
      <c r="X212" s="12"/>
      <c r="Y212" s="6"/>
      <c r="Z212" s="5"/>
    </row>
    <row r="213">
      <c r="G213" s="13"/>
      <c r="I213" s="10"/>
      <c r="J213" s="17"/>
      <c r="K213" s="17"/>
      <c r="M213" s="10"/>
      <c r="O213" s="10"/>
      <c r="R213" s="10"/>
      <c r="U213" s="11"/>
      <c r="V213" s="12"/>
      <c r="W213" s="12"/>
      <c r="X213" s="12"/>
      <c r="Y213" s="6"/>
      <c r="Z213" s="5"/>
    </row>
    <row r="214">
      <c r="G214" s="13"/>
      <c r="I214" s="10"/>
      <c r="J214" s="17"/>
      <c r="K214" s="17"/>
      <c r="M214" s="10"/>
      <c r="O214" s="10"/>
      <c r="R214" s="10"/>
      <c r="U214" s="11"/>
      <c r="V214" s="12"/>
      <c r="W214" s="12"/>
      <c r="X214" s="12"/>
      <c r="Y214" s="6"/>
      <c r="Z214" s="5"/>
    </row>
    <row r="215">
      <c r="G215" s="13"/>
      <c r="I215" s="10"/>
      <c r="J215" s="17"/>
      <c r="K215" s="17"/>
      <c r="M215" s="10"/>
      <c r="O215" s="10"/>
      <c r="R215" s="10"/>
      <c r="U215" s="11"/>
      <c r="V215" s="12"/>
      <c r="W215" s="12"/>
      <c r="X215" s="12"/>
      <c r="Y215" s="6"/>
      <c r="Z215" s="5"/>
    </row>
    <row r="216">
      <c r="G216" s="13"/>
      <c r="I216" s="10"/>
      <c r="J216" s="17"/>
      <c r="K216" s="17"/>
      <c r="M216" s="10"/>
      <c r="O216" s="10"/>
      <c r="R216" s="10"/>
      <c r="U216" s="11"/>
      <c r="V216" s="12"/>
      <c r="W216" s="12"/>
      <c r="X216" s="12"/>
      <c r="Y216" s="6"/>
      <c r="Z216" s="5"/>
    </row>
    <row r="217">
      <c r="G217" s="13"/>
      <c r="I217" s="10"/>
      <c r="J217" s="17"/>
      <c r="K217" s="17"/>
      <c r="M217" s="10"/>
      <c r="O217" s="10"/>
      <c r="R217" s="10"/>
      <c r="U217" s="11"/>
      <c r="V217" s="12"/>
      <c r="W217" s="12"/>
      <c r="X217" s="12"/>
      <c r="Y217" s="6"/>
      <c r="Z217" s="5"/>
    </row>
    <row r="218">
      <c r="G218" s="13"/>
      <c r="I218" s="10"/>
      <c r="J218" s="17"/>
      <c r="K218" s="17"/>
      <c r="M218" s="10"/>
      <c r="O218" s="10"/>
      <c r="R218" s="13"/>
      <c r="U218" s="11"/>
      <c r="V218" s="12"/>
      <c r="W218" s="12"/>
      <c r="X218" s="12"/>
      <c r="Y218" s="6"/>
      <c r="Z218" s="5"/>
    </row>
    <row r="219">
      <c r="G219" s="13"/>
      <c r="I219" s="10"/>
      <c r="J219" s="17"/>
      <c r="K219" s="17"/>
      <c r="M219" s="10"/>
      <c r="O219" s="10"/>
      <c r="R219" s="10"/>
      <c r="U219" s="11"/>
      <c r="V219" s="12"/>
      <c r="W219" s="12"/>
      <c r="X219" s="12"/>
      <c r="Y219" s="6"/>
      <c r="Z219" s="5"/>
    </row>
    <row r="220">
      <c r="G220" s="13"/>
      <c r="I220" s="10"/>
      <c r="J220" s="17"/>
      <c r="K220" s="17"/>
      <c r="M220" s="10"/>
      <c r="O220" s="10"/>
      <c r="R220" s="13"/>
      <c r="U220" s="11"/>
      <c r="V220" s="12"/>
      <c r="W220" s="12"/>
      <c r="X220" s="12"/>
      <c r="Y220" s="6"/>
      <c r="Z220" s="5"/>
    </row>
    <row r="221">
      <c r="G221" s="13"/>
      <c r="I221" s="10"/>
      <c r="J221" s="17"/>
      <c r="K221" s="17"/>
      <c r="M221" s="10"/>
      <c r="O221" s="10"/>
      <c r="R221" s="10"/>
      <c r="U221" s="11"/>
      <c r="V221" s="12"/>
      <c r="W221" s="12"/>
      <c r="X221" s="12"/>
      <c r="Y221" s="6"/>
      <c r="Z221" s="5"/>
    </row>
    <row r="222">
      <c r="G222" s="13"/>
      <c r="I222" s="10"/>
      <c r="J222" s="17"/>
      <c r="K222" s="17"/>
      <c r="M222" s="10"/>
      <c r="O222" s="10"/>
      <c r="R222" s="13"/>
      <c r="U222" s="11"/>
      <c r="V222" s="12"/>
      <c r="W222" s="12"/>
      <c r="X222" s="12"/>
      <c r="Y222" s="6"/>
      <c r="Z222" s="5"/>
    </row>
    <row r="223">
      <c r="G223" s="13"/>
      <c r="I223" s="10"/>
      <c r="J223" s="17"/>
      <c r="K223" s="17"/>
      <c r="M223" s="10"/>
      <c r="O223" s="10"/>
      <c r="R223" s="10"/>
      <c r="U223" s="11"/>
      <c r="V223" s="12"/>
      <c r="W223" s="12"/>
      <c r="X223" s="12"/>
      <c r="Y223" s="6"/>
      <c r="Z223" s="5"/>
    </row>
    <row r="224">
      <c r="G224" s="13"/>
      <c r="I224" s="10"/>
      <c r="J224" s="17"/>
      <c r="K224" s="17"/>
      <c r="M224" s="10"/>
      <c r="O224" s="10"/>
      <c r="R224" s="13"/>
      <c r="U224" s="11"/>
      <c r="V224" s="12"/>
      <c r="W224" s="19"/>
      <c r="X224" s="19"/>
      <c r="Y224" s="6"/>
      <c r="Z224" s="5"/>
    </row>
    <row r="225">
      <c r="G225" s="13"/>
      <c r="I225" s="10"/>
      <c r="J225" s="17"/>
      <c r="K225" s="17"/>
      <c r="M225" s="10"/>
      <c r="O225" s="10"/>
      <c r="R225" s="10"/>
      <c r="U225" s="11"/>
      <c r="V225" s="12"/>
      <c r="W225" s="19"/>
      <c r="X225" s="19"/>
      <c r="Y225" s="6"/>
      <c r="Z225" s="5"/>
    </row>
    <row r="226">
      <c r="G226" s="13"/>
      <c r="I226" s="10"/>
      <c r="J226" s="17"/>
      <c r="K226" s="17"/>
      <c r="M226" s="10"/>
      <c r="O226" s="10"/>
      <c r="R226" s="10"/>
      <c r="U226" s="11"/>
      <c r="V226" s="12"/>
      <c r="W226" s="19"/>
      <c r="X226" s="19"/>
      <c r="Y226" s="6"/>
      <c r="Z226" s="5"/>
    </row>
    <row r="227">
      <c r="G227" s="13"/>
      <c r="I227" s="10"/>
      <c r="J227" s="17"/>
      <c r="K227" s="17"/>
      <c r="M227" s="10"/>
      <c r="O227" s="10"/>
      <c r="R227" s="13"/>
      <c r="U227" s="11"/>
      <c r="V227" s="12"/>
      <c r="W227" s="19"/>
      <c r="X227" s="19"/>
      <c r="Y227" s="6"/>
      <c r="Z227" s="5"/>
    </row>
    <row r="228">
      <c r="G228" s="13"/>
      <c r="I228" s="10"/>
      <c r="J228" s="17"/>
      <c r="K228" s="17"/>
      <c r="M228" s="10"/>
      <c r="O228" s="10"/>
      <c r="R228" s="10"/>
      <c r="U228" s="11"/>
      <c r="Y228" s="6"/>
    </row>
    <row r="229">
      <c r="G229" s="13"/>
      <c r="I229" s="10"/>
      <c r="J229" s="17"/>
      <c r="K229" s="17"/>
      <c r="M229" s="10"/>
      <c r="O229" s="10"/>
      <c r="R229" s="13"/>
      <c r="U229" s="11"/>
      <c r="V229" s="5"/>
      <c r="W229" s="5"/>
      <c r="X229" s="5"/>
      <c r="Y229" s="6"/>
      <c r="Z229" s="5"/>
    </row>
    <row r="230">
      <c r="G230" s="13"/>
      <c r="I230" s="10"/>
      <c r="J230" s="17"/>
      <c r="K230" s="17"/>
      <c r="M230" s="10"/>
      <c r="O230" s="10"/>
      <c r="R230" s="10"/>
      <c r="U230" s="11"/>
      <c r="V230" s="5"/>
      <c r="W230" s="5"/>
      <c r="X230" s="5"/>
      <c r="Y230" s="6"/>
      <c r="Z230" s="5"/>
    </row>
    <row r="231">
      <c r="G231" s="13"/>
      <c r="I231" s="10"/>
      <c r="J231" s="17"/>
      <c r="K231" s="17"/>
      <c r="M231" s="10"/>
      <c r="O231" s="10"/>
      <c r="R231" s="10"/>
      <c r="U231" s="11"/>
      <c r="V231" s="5"/>
      <c r="W231" s="5"/>
      <c r="X231" s="5"/>
      <c r="Y231" s="6"/>
      <c r="Z231" s="5"/>
    </row>
    <row r="232">
      <c r="G232" s="13"/>
      <c r="I232" s="10"/>
      <c r="J232" s="17"/>
      <c r="K232" s="17"/>
      <c r="M232" s="10"/>
      <c r="O232" s="10"/>
      <c r="R232" s="10"/>
      <c r="U232" s="11"/>
      <c r="V232" s="5"/>
      <c r="W232" s="5"/>
      <c r="X232" s="5"/>
      <c r="Y232" s="6"/>
      <c r="Z232" s="5"/>
    </row>
    <row r="233">
      <c r="G233" s="13"/>
      <c r="I233" s="10"/>
      <c r="J233" s="17"/>
      <c r="K233" s="17"/>
      <c r="M233" s="10"/>
      <c r="O233" s="10"/>
      <c r="R233" s="10"/>
      <c r="U233" s="11"/>
      <c r="V233" s="5"/>
      <c r="W233" s="5"/>
      <c r="X233" s="5"/>
      <c r="Y233" s="6"/>
      <c r="Z233" s="5"/>
    </row>
    <row r="234">
      <c r="G234" s="13"/>
      <c r="I234" s="10"/>
      <c r="J234" s="17"/>
      <c r="K234" s="17"/>
      <c r="M234" s="10"/>
      <c r="O234" s="10"/>
      <c r="R234" s="10"/>
      <c r="U234" s="11"/>
      <c r="V234" s="5"/>
      <c r="W234" s="5"/>
      <c r="X234" s="5"/>
      <c r="Y234" s="6"/>
      <c r="Z234" s="5"/>
    </row>
    <row r="235">
      <c r="G235" s="13"/>
      <c r="I235" s="10"/>
      <c r="J235" s="17"/>
      <c r="K235" s="17"/>
      <c r="M235" s="10"/>
      <c r="O235" s="10"/>
      <c r="R235" s="10"/>
      <c r="U235" s="11"/>
      <c r="V235" s="5"/>
      <c r="W235" s="5"/>
      <c r="X235" s="5"/>
      <c r="Y235" s="6"/>
      <c r="Z235" s="5"/>
    </row>
    <row r="236">
      <c r="G236" s="13"/>
      <c r="I236" s="10"/>
      <c r="J236" s="17"/>
      <c r="K236" s="17"/>
      <c r="M236" s="10"/>
      <c r="O236" s="10"/>
      <c r="R236" s="10"/>
      <c r="U236" s="11"/>
      <c r="V236" s="5"/>
      <c r="W236" s="5"/>
      <c r="X236" s="5"/>
      <c r="Y236" s="6"/>
      <c r="Z236" s="5"/>
    </row>
    <row r="237">
      <c r="G237" s="13"/>
      <c r="I237" s="10"/>
      <c r="J237" s="17"/>
      <c r="K237" s="17"/>
      <c r="M237" s="10"/>
      <c r="O237" s="10"/>
      <c r="R237" s="10"/>
      <c r="U237" s="11"/>
      <c r="V237" s="5"/>
      <c r="W237" s="5"/>
      <c r="X237" s="5"/>
      <c r="Y237" s="6"/>
      <c r="Z237" s="5"/>
    </row>
    <row r="238">
      <c r="G238" s="13"/>
      <c r="I238" s="10"/>
      <c r="J238" s="17"/>
      <c r="K238" s="17"/>
      <c r="M238" s="10"/>
      <c r="O238" s="10"/>
      <c r="R238" s="10"/>
      <c r="U238" s="11"/>
      <c r="V238" s="5"/>
      <c r="W238" s="5"/>
      <c r="X238" s="5"/>
      <c r="Y238" s="6"/>
      <c r="Z238" s="5"/>
    </row>
    <row r="239">
      <c r="G239" s="13"/>
      <c r="I239" s="10"/>
      <c r="J239" s="17"/>
      <c r="K239" s="17"/>
      <c r="M239" s="10"/>
      <c r="O239" s="10"/>
      <c r="R239" s="10"/>
      <c r="U239" s="11"/>
      <c r="V239" s="5"/>
      <c r="W239" s="5"/>
      <c r="X239" s="5"/>
      <c r="Y239" s="6"/>
      <c r="Z239" s="5"/>
    </row>
    <row r="240">
      <c r="G240" s="13"/>
      <c r="I240" s="10"/>
      <c r="J240" s="17"/>
      <c r="K240" s="17"/>
      <c r="M240" s="10"/>
      <c r="O240" s="10"/>
      <c r="R240" s="10"/>
      <c r="U240" s="11"/>
      <c r="V240" s="5"/>
      <c r="W240" s="5"/>
      <c r="X240" s="5"/>
      <c r="Y240" s="6"/>
      <c r="Z240" s="5"/>
    </row>
    <row r="241">
      <c r="G241" s="13"/>
      <c r="I241" s="10"/>
      <c r="J241" s="17"/>
      <c r="K241" s="17"/>
      <c r="M241" s="10"/>
      <c r="O241" s="10"/>
      <c r="R241" s="10"/>
      <c r="U241" s="11"/>
      <c r="V241" s="5"/>
      <c r="W241" s="5"/>
      <c r="X241" s="5"/>
      <c r="Y241" s="6"/>
      <c r="Z241" s="5"/>
    </row>
    <row r="242">
      <c r="G242" s="13"/>
      <c r="I242" s="10"/>
      <c r="J242" s="17"/>
      <c r="K242" s="17"/>
      <c r="M242" s="10"/>
      <c r="O242" s="10"/>
      <c r="R242" s="10"/>
      <c r="U242" s="11"/>
      <c r="V242" s="5"/>
      <c r="W242" s="5"/>
      <c r="X242" s="5"/>
      <c r="Y242" s="6"/>
      <c r="Z242" s="5"/>
    </row>
    <row r="243">
      <c r="G243" s="13"/>
      <c r="I243" s="10"/>
      <c r="J243" s="17"/>
      <c r="K243" s="17"/>
      <c r="M243" s="10"/>
      <c r="O243" s="10"/>
      <c r="R243" s="10"/>
      <c r="U243" s="11"/>
      <c r="V243" s="5"/>
      <c r="W243" s="5"/>
      <c r="X243" s="5"/>
      <c r="Y243" s="6"/>
      <c r="Z243" s="5"/>
    </row>
    <row r="244">
      <c r="G244" s="13"/>
      <c r="I244" s="10"/>
      <c r="J244" s="17"/>
      <c r="K244" s="17"/>
      <c r="M244" s="10"/>
      <c r="O244" s="10"/>
      <c r="R244" s="10"/>
      <c r="U244" s="11"/>
      <c r="V244" s="5"/>
      <c r="W244" s="5"/>
      <c r="X244" s="5"/>
      <c r="Y244" s="6"/>
      <c r="Z244" s="5"/>
    </row>
    <row r="245">
      <c r="G245" s="13"/>
      <c r="I245" s="10"/>
      <c r="J245" s="17"/>
      <c r="K245" s="17"/>
      <c r="M245" s="10"/>
      <c r="O245" s="10"/>
      <c r="R245" s="10"/>
      <c r="U245" s="11"/>
      <c r="V245" s="5"/>
      <c r="W245" s="5"/>
      <c r="X245" s="5"/>
      <c r="Y245" s="6"/>
      <c r="Z245" s="5"/>
    </row>
    <row r="246">
      <c r="G246" s="13"/>
      <c r="I246" s="10"/>
      <c r="J246" s="17"/>
      <c r="K246" s="17"/>
      <c r="M246" s="10"/>
      <c r="O246" s="10"/>
      <c r="R246" s="10"/>
      <c r="U246" s="11"/>
      <c r="V246" s="5"/>
      <c r="W246" s="5"/>
      <c r="X246" s="5"/>
      <c r="Y246" s="6"/>
      <c r="Z246" s="5"/>
    </row>
    <row r="247">
      <c r="G247" s="13"/>
      <c r="I247" s="10"/>
      <c r="J247" s="17"/>
      <c r="K247" s="17"/>
      <c r="M247" s="10"/>
      <c r="O247" s="10"/>
      <c r="R247" s="10"/>
      <c r="U247" s="11"/>
      <c r="V247" s="5"/>
      <c r="W247" s="5"/>
      <c r="X247" s="5"/>
      <c r="Y247" s="6"/>
      <c r="Z247" s="5"/>
    </row>
    <row r="248">
      <c r="G248" s="13"/>
      <c r="I248" s="10"/>
      <c r="J248" s="17"/>
      <c r="K248" s="17"/>
      <c r="M248" s="10"/>
      <c r="O248" s="10"/>
      <c r="R248" s="10"/>
      <c r="U248" s="11"/>
      <c r="V248" s="5"/>
      <c r="W248" s="5"/>
      <c r="X248" s="5"/>
      <c r="Y248" s="6"/>
      <c r="Z248" s="5"/>
    </row>
    <row r="249">
      <c r="G249" s="13"/>
      <c r="I249" s="10"/>
      <c r="J249" s="17"/>
      <c r="K249" s="17"/>
      <c r="M249" s="10"/>
      <c r="O249" s="10"/>
      <c r="R249" s="10"/>
      <c r="U249" s="11"/>
      <c r="V249" s="5"/>
      <c r="W249" s="5"/>
      <c r="X249" s="5"/>
      <c r="Y249" s="6"/>
      <c r="Z249" s="5"/>
    </row>
    <row r="250">
      <c r="G250" s="13"/>
      <c r="I250" s="10"/>
      <c r="J250" s="17"/>
      <c r="K250" s="17"/>
      <c r="M250" s="10"/>
      <c r="O250" s="10"/>
      <c r="R250" s="10"/>
      <c r="U250" s="11"/>
      <c r="V250" s="5"/>
      <c r="W250" s="5"/>
      <c r="X250" s="5"/>
      <c r="Y250" s="6"/>
      <c r="Z250" s="5"/>
    </row>
    <row r="251">
      <c r="G251" s="13"/>
      <c r="I251" s="10"/>
      <c r="J251" s="17"/>
      <c r="K251" s="17"/>
      <c r="M251" s="10"/>
      <c r="O251" s="10"/>
      <c r="R251" s="10"/>
      <c r="U251" s="11"/>
      <c r="V251" s="5"/>
      <c r="W251" s="5"/>
      <c r="X251" s="5"/>
      <c r="Y251" s="6"/>
      <c r="Z251" s="5"/>
    </row>
    <row r="252">
      <c r="G252" s="13"/>
      <c r="I252" s="10"/>
      <c r="J252" s="17"/>
      <c r="K252" s="17"/>
      <c r="M252" s="10"/>
      <c r="O252" s="10"/>
      <c r="R252" s="10"/>
      <c r="U252" s="11"/>
      <c r="V252" s="5"/>
      <c r="W252" s="5"/>
      <c r="X252" s="5"/>
      <c r="Y252" s="6"/>
      <c r="Z252" s="5"/>
    </row>
    <row r="253">
      <c r="G253" s="13"/>
      <c r="I253" s="10"/>
      <c r="J253" s="17"/>
      <c r="K253" s="17"/>
      <c r="M253" s="10"/>
      <c r="O253" s="10"/>
      <c r="R253" s="10"/>
      <c r="U253" s="11"/>
      <c r="V253" s="5"/>
      <c r="W253" s="5"/>
      <c r="X253" s="5"/>
      <c r="Y253" s="6"/>
      <c r="Z253" s="5"/>
    </row>
    <row r="254">
      <c r="G254" s="13"/>
      <c r="I254" s="10"/>
      <c r="J254" s="17"/>
      <c r="K254" s="17"/>
      <c r="M254" s="10"/>
      <c r="O254" s="10"/>
      <c r="R254" s="10"/>
      <c r="U254" s="11"/>
      <c r="V254" s="5"/>
      <c r="W254" s="5"/>
      <c r="X254" s="5"/>
      <c r="Y254" s="6"/>
      <c r="Z254" s="5"/>
    </row>
    <row r="255">
      <c r="G255" s="13"/>
      <c r="I255" s="10"/>
      <c r="J255" s="17"/>
      <c r="K255" s="17"/>
      <c r="M255" s="10"/>
      <c r="O255" s="10"/>
      <c r="R255" s="10"/>
      <c r="U255" s="11"/>
      <c r="V255" s="5"/>
      <c r="W255" s="5"/>
      <c r="X255" s="5"/>
      <c r="Y255" s="6"/>
      <c r="Z255" s="5"/>
    </row>
    <row r="256">
      <c r="G256" s="13"/>
      <c r="I256" s="10"/>
      <c r="J256" s="17"/>
      <c r="K256" s="17"/>
      <c r="M256" s="10"/>
      <c r="O256" s="10"/>
      <c r="R256" s="10"/>
      <c r="U256" s="11"/>
      <c r="V256" s="5"/>
      <c r="W256" s="5"/>
      <c r="X256" s="5"/>
      <c r="Y256" s="6"/>
      <c r="Z256" s="5"/>
    </row>
    <row r="257">
      <c r="G257" s="13"/>
      <c r="I257" s="10"/>
      <c r="J257" s="17"/>
      <c r="K257" s="17"/>
      <c r="M257" s="10"/>
      <c r="O257" s="10"/>
      <c r="R257" s="10"/>
      <c r="U257" s="11"/>
      <c r="V257" s="5"/>
      <c r="W257" s="5"/>
      <c r="X257" s="5"/>
      <c r="Y257" s="6"/>
      <c r="Z257" s="5"/>
    </row>
    <row r="258">
      <c r="G258" s="13"/>
      <c r="I258" s="10"/>
      <c r="J258" s="17"/>
      <c r="K258" s="17"/>
      <c r="M258" s="10"/>
      <c r="O258" s="10"/>
      <c r="R258" s="10"/>
      <c r="U258" s="11"/>
      <c r="V258" s="5"/>
      <c r="W258" s="5"/>
      <c r="X258" s="5"/>
      <c r="Y258" s="6"/>
      <c r="Z258" s="5"/>
    </row>
    <row r="259">
      <c r="G259" s="13"/>
      <c r="I259" s="10"/>
      <c r="J259" s="17"/>
      <c r="K259" s="17"/>
      <c r="M259" s="10"/>
      <c r="O259" s="10"/>
      <c r="R259" s="10"/>
      <c r="U259" s="11"/>
      <c r="V259" s="5"/>
      <c r="W259" s="5"/>
      <c r="X259" s="5"/>
      <c r="Y259" s="6"/>
      <c r="Z259" s="5"/>
    </row>
    <row r="260">
      <c r="G260" s="13"/>
      <c r="I260" s="10"/>
      <c r="J260" s="17"/>
      <c r="K260" s="17"/>
      <c r="M260" s="10"/>
      <c r="O260" s="10"/>
      <c r="R260" s="10"/>
      <c r="U260" s="11"/>
      <c r="V260" s="5"/>
      <c r="W260" s="5"/>
      <c r="X260" s="5"/>
      <c r="Y260" s="6"/>
      <c r="Z260" s="5"/>
    </row>
    <row r="261">
      <c r="G261" s="13"/>
      <c r="I261" s="10"/>
      <c r="J261" s="17"/>
      <c r="K261" s="17"/>
      <c r="M261" s="10"/>
      <c r="O261" s="10"/>
      <c r="R261" s="10"/>
      <c r="U261" s="11"/>
      <c r="V261" s="5"/>
      <c r="W261" s="5"/>
      <c r="X261" s="5"/>
      <c r="Y261" s="6"/>
      <c r="Z261" s="5"/>
    </row>
    <row r="262">
      <c r="G262" s="13"/>
      <c r="I262" s="10"/>
      <c r="J262" s="17"/>
      <c r="K262" s="17"/>
      <c r="M262" s="10"/>
      <c r="O262" s="10"/>
      <c r="R262" s="10"/>
      <c r="U262" s="11"/>
      <c r="V262" s="5"/>
      <c r="W262" s="5"/>
      <c r="X262" s="5"/>
      <c r="Y262" s="6"/>
      <c r="Z262" s="5"/>
    </row>
    <row r="263">
      <c r="G263" s="13"/>
      <c r="I263" s="10"/>
      <c r="J263" s="17"/>
      <c r="K263" s="17"/>
      <c r="M263" s="10"/>
      <c r="O263" s="10"/>
      <c r="R263" s="10"/>
      <c r="U263" s="11"/>
      <c r="V263" s="5"/>
      <c r="W263" s="5"/>
      <c r="X263" s="5"/>
      <c r="Y263" s="6"/>
      <c r="Z263" s="5"/>
    </row>
    <row r="264">
      <c r="G264" s="13"/>
      <c r="I264" s="10"/>
      <c r="J264" s="17"/>
      <c r="K264" s="17"/>
      <c r="M264" s="10"/>
      <c r="O264" s="10"/>
      <c r="R264" s="10"/>
      <c r="U264" s="11"/>
      <c r="V264" s="5"/>
      <c r="W264" s="5"/>
      <c r="X264" s="5"/>
      <c r="Y264" s="6"/>
      <c r="Z264" s="5"/>
    </row>
    <row r="265">
      <c r="G265" s="13"/>
      <c r="I265" s="10"/>
      <c r="J265" s="17"/>
      <c r="K265" s="17"/>
      <c r="M265" s="10"/>
      <c r="O265" s="10"/>
      <c r="R265" s="10"/>
      <c r="U265" s="11"/>
      <c r="V265" s="5"/>
      <c r="W265" s="5"/>
      <c r="X265" s="5"/>
      <c r="Y265" s="6"/>
      <c r="Z265" s="5"/>
    </row>
    <row r="266">
      <c r="G266" s="13"/>
      <c r="I266" s="10"/>
      <c r="J266" s="17"/>
      <c r="K266" s="17"/>
      <c r="M266" s="10"/>
      <c r="O266" s="10"/>
      <c r="R266" s="10"/>
      <c r="U266" s="11"/>
      <c r="V266" s="5"/>
      <c r="W266" s="5"/>
      <c r="X266" s="5"/>
      <c r="Y266" s="6"/>
      <c r="Z266" s="5"/>
    </row>
    <row r="267">
      <c r="G267" s="13"/>
      <c r="I267" s="10"/>
      <c r="J267" s="17"/>
      <c r="K267" s="17"/>
      <c r="M267" s="10"/>
      <c r="O267" s="10"/>
      <c r="R267" s="10"/>
      <c r="U267" s="11"/>
      <c r="V267" s="5"/>
      <c r="W267" s="5"/>
      <c r="X267" s="5"/>
      <c r="Y267" s="6"/>
      <c r="Z267" s="5"/>
    </row>
    <row r="268">
      <c r="G268" s="13"/>
      <c r="I268" s="10"/>
      <c r="J268" s="17"/>
      <c r="K268" s="17"/>
      <c r="M268" s="10"/>
      <c r="O268" s="10"/>
      <c r="R268" s="10"/>
      <c r="U268" s="11"/>
      <c r="V268" s="5"/>
      <c r="W268" s="5"/>
      <c r="X268" s="5"/>
      <c r="Y268" s="6"/>
      <c r="Z268" s="5"/>
    </row>
    <row r="269">
      <c r="G269" s="13"/>
      <c r="I269" s="10"/>
      <c r="J269" s="17"/>
      <c r="K269" s="17"/>
      <c r="M269" s="10"/>
      <c r="O269" s="10"/>
      <c r="R269" s="10"/>
      <c r="U269" s="11"/>
      <c r="V269" s="5"/>
      <c r="W269" s="5"/>
      <c r="X269" s="5"/>
      <c r="Y269" s="6"/>
      <c r="Z269" s="5"/>
    </row>
    <row r="270">
      <c r="G270" s="13"/>
      <c r="I270" s="10"/>
      <c r="J270" s="17"/>
      <c r="K270" s="17"/>
      <c r="M270" s="10"/>
      <c r="O270" s="10"/>
      <c r="R270" s="10"/>
      <c r="U270" s="11"/>
      <c r="V270" s="5"/>
      <c r="W270" s="5"/>
      <c r="X270" s="5"/>
      <c r="Y270" s="6"/>
      <c r="Z270" s="5"/>
    </row>
    <row r="271">
      <c r="G271" s="13"/>
      <c r="I271" s="10"/>
      <c r="J271" s="17"/>
      <c r="K271" s="17"/>
      <c r="M271" s="10"/>
      <c r="O271" s="10"/>
      <c r="R271" s="10"/>
      <c r="U271" s="11"/>
      <c r="V271" s="5"/>
      <c r="W271" s="5"/>
      <c r="X271" s="5"/>
      <c r="Y271" s="6"/>
      <c r="Z271" s="5"/>
    </row>
    <row r="272">
      <c r="G272" s="13"/>
      <c r="I272" s="10"/>
      <c r="J272" s="17"/>
      <c r="K272" s="17"/>
      <c r="M272" s="10"/>
      <c r="O272" s="10"/>
      <c r="R272" s="10"/>
      <c r="U272" s="11"/>
      <c r="V272" s="5"/>
      <c r="W272" s="5"/>
      <c r="X272" s="5"/>
      <c r="Y272" s="6"/>
      <c r="Z272" s="5"/>
    </row>
    <row r="273">
      <c r="G273" s="13"/>
      <c r="I273" s="10"/>
      <c r="J273" s="17"/>
      <c r="K273" s="17"/>
      <c r="M273" s="10"/>
      <c r="O273" s="10"/>
      <c r="R273" s="10"/>
      <c r="U273" s="11"/>
      <c r="V273" s="5"/>
      <c r="W273" s="5"/>
      <c r="X273" s="5"/>
      <c r="Y273" s="6"/>
      <c r="Z273" s="5"/>
    </row>
    <row r="274">
      <c r="G274" s="13"/>
      <c r="I274" s="10"/>
      <c r="J274" s="17"/>
      <c r="K274" s="17"/>
      <c r="M274" s="10"/>
      <c r="O274" s="10"/>
      <c r="R274" s="10"/>
      <c r="U274" s="11"/>
      <c r="V274" s="5"/>
      <c r="W274" s="5"/>
      <c r="X274" s="5"/>
      <c r="Y274" s="6"/>
      <c r="Z274" s="5"/>
    </row>
    <row r="275">
      <c r="G275" s="13"/>
      <c r="I275" s="10"/>
      <c r="J275" s="17"/>
      <c r="K275" s="17"/>
      <c r="M275" s="10"/>
      <c r="O275" s="10"/>
      <c r="R275" s="10"/>
      <c r="U275" s="11"/>
      <c r="V275" s="5"/>
      <c r="W275" s="5"/>
      <c r="X275" s="5"/>
      <c r="Y275" s="6"/>
      <c r="Z275" s="5"/>
    </row>
    <row r="276">
      <c r="G276" s="13"/>
      <c r="I276" s="10"/>
      <c r="J276" s="17"/>
      <c r="K276" s="17"/>
      <c r="M276" s="10"/>
      <c r="O276" s="10"/>
      <c r="R276" s="10"/>
      <c r="U276" s="11"/>
      <c r="V276" s="5"/>
      <c r="W276" s="5"/>
      <c r="X276" s="5"/>
      <c r="Y276" s="6"/>
      <c r="Z276" s="5"/>
    </row>
    <row r="277">
      <c r="G277" s="13"/>
      <c r="I277" s="10"/>
      <c r="J277" s="17"/>
      <c r="K277" s="17"/>
      <c r="M277" s="10"/>
      <c r="O277" s="10"/>
      <c r="R277" s="10"/>
      <c r="U277" s="11"/>
      <c r="V277" s="5"/>
      <c r="W277" s="5"/>
      <c r="X277" s="5"/>
      <c r="Y277" s="6"/>
      <c r="Z277" s="5"/>
    </row>
    <row r="278">
      <c r="G278" s="13"/>
      <c r="I278" s="10"/>
      <c r="J278" s="17"/>
      <c r="K278" s="17"/>
      <c r="M278" s="10"/>
      <c r="O278" s="10"/>
      <c r="R278" s="10"/>
      <c r="U278" s="11"/>
      <c r="V278" s="5"/>
      <c r="W278" s="5"/>
      <c r="X278" s="5"/>
      <c r="Y278" s="6"/>
      <c r="Z278" s="5"/>
    </row>
    <row r="279">
      <c r="G279" s="13"/>
      <c r="I279" s="10"/>
      <c r="J279" s="17"/>
      <c r="K279" s="17"/>
      <c r="M279" s="10"/>
      <c r="O279" s="10"/>
      <c r="R279" s="10"/>
      <c r="U279" s="11"/>
      <c r="V279" s="5"/>
      <c r="W279" s="5"/>
      <c r="X279" s="5"/>
      <c r="Y279" s="6"/>
      <c r="Z279" s="5"/>
    </row>
    <row r="280">
      <c r="G280" s="13"/>
      <c r="I280" s="10"/>
      <c r="J280" s="17"/>
      <c r="K280" s="17"/>
      <c r="M280" s="10"/>
      <c r="O280" s="10"/>
      <c r="R280" s="10"/>
      <c r="U280" s="11"/>
      <c r="V280" s="5"/>
      <c r="W280" s="5"/>
      <c r="X280" s="5"/>
      <c r="Y280" s="6"/>
      <c r="Z280" s="5"/>
    </row>
    <row r="281">
      <c r="G281" s="13"/>
      <c r="I281" s="10"/>
      <c r="J281" s="17"/>
      <c r="K281" s="17"/>
      <c r="M281" s="10"/>
      <c r="O281" s="10"/>
      <c r="R281" s="10"/>
      <c r="U281" s="11"/>
      <c r="V281" s="5"/>
      <c r="W281" s="5"/>
      <c r="X281" s="5"/>
      <c r="Y281" s="6"/>
      <c r="Z281" s="5"/>
    </row>
    <row r="282">
      <c r="G282" s="13"/>
      <c r="I282" s="10"/>
      <c r="J282" s="17"/>
      <c r="K282" s="17"/>
      <c r="M282" s="10"/>
      <c r="O282" s="10"/>
      <c r="R282" s="10"/>
      <c r="U282" s="11"/>
      <c r="V282" s="5"/>
      <c r="W282" s="5"/>
      <c r="X282" s="5"/>
      <c r="Y282" s="6"/>
      <c r="Z282" s="5"/>
    </row>
    <row r="283">
      <c r="G283" s="13"/>
      <c r="I283" s="10"/>
      <c r="J283" s="17"/>
      <c r="K283" s="17"/>
      <c r="M283" s="10"/>
      <c r="O283" s="10"/>
      <c r="R283" s="10"/>
      <c r="U283" s="11"/>
      <c r="V283" s="5"/>
      <c r="W283" s="5"/>
      <c r="X283" s="5"/>
      <c r="Y283" s="6"/>
      <c r="Z283" s="5"/>
    </row>
    <row r="284">
      <c r="G284" s="13"/>
      <c r="I284" s="10"/>
      <c r="J284" s="17"/>
      <c r="K284" s="17"/>
      <c r="M284" s="10"/>
      <c r="O284" s="10"/>
      <c r="R284" s="10"/>
      <c r="U284" s="11"/>
      <c r="V284" s="5"/>
      <c r="W284" s="5"/>
      <c r="X284" s="5"/>
      <c r="Y284" s="6"/>
      <c r="Z284" s="5"/>
    </row>
    <row r="285">
      <c r="G285" s="13"/>
      <c r="I285" s="10"/>
      <c r="J285" s="17"/>
      <c r="K285" s="17"/>
      <c r="M285" s="10"/>
      <c r="O285" s="10"/>
      <c r="R285" s="10"/>
      <c r="U285" s="11"/>
      <c r="V285" s="5"/>
      <c r="W285" s="5"/>
      <c r="X285" s="5"/>
      <c r="Y285" s="6"/>
      <c r="Z285" s="5"/>
    </row>
    <row r="286">
      <c r="G286" s="13"/>
      <c r="I286" s="10"/>
      <c r="J286" s="17"/>
      <c r="K286" s="17"/>
      <c r="M286" s="10"/>
      <c r="O286" s="10"/>
      <c r="R286" s="10"/>
      <c r="U286" s="11"/>
      <c r="V286" s="5"/>
      <c r="W286" s="5"/>
      <c r="X286" s="5"/>
      <c r="Y286" s="6"/>
      <c r="Z286" s="5"/>
    </row>
    <row r="287">
      <c r="G287" s="13"/>
      <c r="I287" s="10"/>
      <c r="J287" s="17"/>
      <c r="K287" s="17"/>
      <c r="M287" s="10"/>
      <c r="O287" s="10"/>
      <c r="R287" s="10"/>
      <c r="U287" s="11"/>
      <c r="V287" s="5"/>
      <c r="W287" s="5"/>
      <c r="X287" s="5"/>
      <c r="Y287" s="6"/>
      <c r="Z287" s="5"/>
    </row>
    <row r="288">
      <c r="G288" s="13"/>
      <c r="I288" s="10"/>
      <c r="J288" s="17"/>
      <c r="K288" s="17"/>
      <c r="M288" s="10"/>
      <c r="O288" s="10"/>
      <c r="R288" s="10"/>
      <c r="U288" s="11"/>
      <c r="V288" s="5"/>
      <c r="W288" s="5"/>
      <c r="X288" s="5"/>
      <c r="Y288" s="6"/>
      <c r="Z288" s="5"/>
    </row>
    <row r="289">
      <c r="G289" s="13"/>
      <c r="I289" s="10"/>
      <c r="J289" s="17"/>
      <c r="K289" s="17"/>
      <c r="M289" s="10"/>
      <c r="O289" s="10"/>
      <c r="R289" s="10"/>
      <c r="U289" s="11"/>
      <c r="V289" s="5"/>
      <c r="W289" s="5"/>
      <c r="X289" s="5"/>
      <c r="Y289" s="6"/>
      <c r="Z289" s="5"/>
    </row>
    <row r="290">
      <c r="G290" s="13"/>
      <c r="I290" s="10"/>
      <c r="J290" s="17"/>
      <c r="K290" s="17"/>
      <c r="M290" s="10"/>
      <c r="O290" s="13"/>
      <c r="R290" s="13"/>
      <c r="U290" s="11"/>
      <c r="V290" s="5"/>
      <c r="W290" s="5"/>
      <c r="X290" s="5"/>
      <c r="Y290" s="6"/>
      <c r="Z290" s="5"/>
    </row>
    <row r="291">
      <c r="G291" s="13"/>
      <c r="I291" s="10"/>
      <c r="J291" s="17"/>
      <c r="K291" s="17"/>
      <c r="M291" s="10"/>
      <c r="O291" s="10"/>
      <c r="R291" s="13"/>
      <c r="U291" s="11"/>
      <c r="V291" s="5"/>
      <c r="W291" s="5"/>
      <c r="X291" s="5"/>
      <c r="Y291" s="6"/>
      <c r="Z291" s="5"/>
    </row>
    <row r="292">
      <c r="G292" s="13"/>
      <c r="I292" s="10"/>
      <c r="J292" s="17"/>
      <c r="K292" s="17"/>
      <c r="M292" s="10"/>
      <c r="O292" s="10"/>
      <c r="R292" s="10"/>
      <c r="U292" s="11"/>
      <c r="V292" s="5"/>
      <c r="W292" s="5"/>
      <c r="X292" s="5"/>
      <c r="Y292" s="6"/>
      <c r="Z292" s="5"/>
    </row>
    <row r="293">
      <c r="G293" s="13"/>
      <c r="I293" s="10"/>
      <c r="J293" s="17"/>
      <c r="K293" s="17"/>
      <c r="M293" s="10"/>
      <c r="O293" s="10"/>
      <c r="R293" s="10"/>
      <c r="U293" s="11"/>
      <c r="V293" s="5"/>
      <c r="W293" s="5"/>
      <c r="X293" s="5"/>
      <c r="Y293" s="6"/>
      <c r="Z293" s="5"/>
    </row>
    <row r="294">
      <c r="G294" s="13"/>
      <c r="I294" s="10"/>
      <c r="J294" s="17"/>
      <c r="K294" s="17"/>
      <c r="M294" s="10"/>
      <c r="O294" s="10"/>
      <c r="R294" s="10"/>
      <c r="U294" s="11"/>
      <c r="V294" s="5"/>
      <c r="W294" s="5"/>
      <c r="X294" s="5"/>
      <c r="Y294" s="6"/>
      <c r="Z294" s="5"/>
    </row>
    <row r="295">
      <c r="G295" s="13"/>
      <c r="I295" s="10"/>
      <c r="J295" s="17"/>
      <c r="K295" s="17"/>
      <c r="M295" s="10"/>
      <c r="O295" s="10"/>
      <c r="R295" s="10"/>
      <c r="U295" s="11"/>
      <c r="V295" s="5"/>
      <c r="W295" s="5"/>
      <c r="X295" s="5"/>
      <c r="Y295" s="6"/>
      <c r="Z295" s="5"/>
    </row>
    <row r="296">
      <c r="G296" s="13"/>
      <c r="I296" s="10"/>
      <c r="J296" s="17"/>
      <c r="K296" s="17"/>
      <c r="M296" s="10"/>
      <c r="O296" s="10"/>
      <c r="R296" s="10"/>
      <c r="U296" s="11"/>
      <c r="V296" s="5"/>
      <c r="W296" s="5"/>
      <c r="X296" s="5"/>
      <c r="Y296" s="6"/>
      <c r="Z296" s="5"/>
    </row>
    <row r="297">
      <c r="G297" s="13"/>
      <c r="I297" s="10"/>
      <c r="J297" s="17"/>
      <c r="K297" s="17"/>
      <c r="M297" s="10"/>
      <c r="O297" s="10"/>
      <c r="R297" s="13"/>
      <c r="U297" s="11"/>
      <c r="V297" s="5"/>
      <c r="W297" s="5"/>
      <c r="X297" s="5"/>
      <c r="Y297" s="6"/>
      <c r="Z297" s="5"/>
    </row>
    <row r="298">
      <c r="G298" s="13"/>
      <c r="I298" s="10"/>
      <c r="J298" s="17"/>
      <c r="K298" s="17"/>
      <c r="M298" s="10"/>
      <c r="O298" s="10"/>
      <c r="R298" s="10"/>
      <c r="U298" s="11"/>
      <c r="V298" s="5"/>
      <c r="W298" s="5"/>
      <c r="X298" s="5"/>
      <c r="Y298" s="6"/>
      <c r="Z298" s="5"/>
    </row>
    <row r="299">
      <c r="G299" s="13"/>
      <c r="I299" s="10"/>
      <c r="J299" s="17"/>
      <c r="K299" s="17"/>
      <c r="M299" s="10"/>
      <c r="O299" s="10"/>
      <c r="R299" s="13"/>
      <c r="U299" s="11"/>
      <c r="V299" s="5"/>
      <c r="W299" s="5"/>
      <c r="X299" s="5"/>
      <c r="Y299" s="6"/>
      <c r="Z299" s="5"/>
    </row>
    <row r="300">
      <c r="G300" s="13"/>
      <c r="I300" s="10"/>
      <c r="J300" s="17"/>
      <c r="K300" s="17"/>
      <c r="M300" s="10"/>
      <c r="O300" s="10"/>
      <c r="R300" s="10"/>
      <c r="U300" s="11"/>
      <c r="V300" s="5"/>
      <c r="W300" s="5"/>
      <c r="X300" s="5"/>
      <c r="Y300" s="6"/>
      <c r="Z300" s="5"/>
    </row>
    <row r="301">
      <c r="G301" s="13"/>
      <c r="I301" s="10"/>
      <c r="J301" s="17"/>
      <c r="K301" s="17"/>
      <c r="M301" s="10"/>
      <c r="O301" s="10"/>
      <c r="R301" s="10"/>
      <c r="U301" s="11"/>
      <c r="V301" s="5"/>
      <c r="W301" s="5"/>
      <c r="X301" s="5"/>
      <c r="Y301" s="6"/>
      <c r="Z301" s="5"/>
    </row>
    <row r="302">
      <c r="G302" s="13"/>
      <c r="I302" s="10"/>
      <c r="J302" s="17"/>
      <c r="K302" s="17"/>
      <c r="M302" s="10"/>
      <c r="O302" s="10"/>
      <c r="R302" s="10"/>
      <c r="U302" s="11"/>
      <c r="V302" s="5"/>
      <c r="W302" s="5"/>
      <c r="X302" s="5"/>
      <c r="Y302" s="6"/>
      <c r="Z302" s="5"/>
    </row>
    <row r="303">
      <c r="G303" s="13"/>
      <c r="I303" s="10"/>
      <c r="J303" s="17"/>
      <c r="K303" s="17"/>
      <c r="M303" s="10"/>
      <c r="O303" s="10"/>
      <c r="R303" s="10"/>
      <c r="U303" s="11"/>
      <c r="V303" s="5"/>
      <c r="W303" s="5"/>
      <c r="X303" s="5"/>
      <c r="Y303" s="6"/>
      <c r="Z303" s="5"/>
    </row>
    <row r="304">
      <c r="G304" s="13"/>
      <c r="I304" s="10"/>
      <c r="J304" s="17"/>
      <c r="K304" s="17"/>
      <c r="M304" s="10"/>
      <c r="O304" s="10"/>
      <c r="R304" s="10"/>
      <c r="U304" s="11"/>
      <c r="V304" s="5"/>
      <c r="W304" s="5"/>
      <c r="X304" s="5"/>
      <c r="Y304" s="6"/>
      <c r="Z304" s="5"/>
    </row>
    <row r="305">
      <c r="G305" s="13"/>
      <c r="I305" s="10"/>
      <c r="J305" s="17"/>
      <c r="K305" s="17"/>
      <c r="M305" s="10"/>
      <c r="O305" s="10"/>
      <c r="R305" s="10"/>
      <c r="U305" s="11"/>
      <c r="V305" s="5"/>
      <c r="W305" s="5"/>
      <c r="X305" s="5"/>
      <c r="Y305" s="6"/>
      <c r="Z305" s="5"/>
    </row>
    <row r="306">
      <c r="G306" s="13"/>
      <c r="I306" s="10"/>
      <c r="J306" s="17"/>
      <c r="K306" s="17"/>
      <c r="M306" s="10"/>
      <c r="O306" s="10"/>
      <c r="R306" s="10"/>
      <c r="U306" s="11"/>
      <c r="V306" s="5"/>
      <c r="W306" s="5"/>
      <c r="X306" s="5"/>
      <c r="Y306" s="6"/>
      <c r="Z306" s="5"/>
    </row>
    <row r="307">
      <c r="G307" s="13"/>
      <c r="I307" s="10"/>
      <c r="J307" s="17"/>
      <c r="K307" s="17"/>
      <c r="M307" s="10"/>
      <c r="O307" s="10"/>
      <c r="R307" s="10"/>
      <c r="U307" s="11"/>
      <c r="V307" s="5"/>
      <c r="W307" s="5"/>
      <c r="X307" s="5"/>
      <c r="Y307" s="6"/>
      <c r="Z307" s="5"/>
    </row>
    <row r="308">
      <c r="G308" s="13"/>
      <c r="I308" s="10"/>
      <c r="J308" s="17"/>
      <c r="K308" s="17"/>
      <c r="M308" s="10"/>
      <c r="O308" s="10"/>
      <c r="R308" s="10"/>
      <c r="U308" s="11"/>
      <c r="V308" s="5"/>
      <c r="W308" s="5"/>
      <c r="X308" s="5"/>
      <c r="Y308" s="6"/>
      <c r="Z308" s="5"/>
    </row>
    <row r="309">
      <c r="G309" s="13"/>
      <c r="I309" s="10"/>
      <c r="J309" s="17"/>
      <c r="K309" s="17"/>
      <c r="M309" s="10"/>
      <c r="O309" s="10"/>
      <c r="R309" s="10"/>
      <c r="U309" s="11"/>
      <c r="V309" s="5"/>
      <c r="W309" s="5"/>
      <c r="X309" s="5"/>
      <c r="Y309" s="6"/>
      <c r="Z309" s="5"/>
    </row>
    <row r="310">
      <c r="G310" s="13"/>
      <c r="I310" s="10"/>
      <c r="J310" s="17"/>
      <c r="K310" s="17"/>
      <c r="M310" s="10"/>
      <c r="O310" s="10"/>
      <c r="R310" s="10"/>
      <c r="U310" s="11"/>
      <c r="V310" s="5"/>
      <c r="W310" s="5"/>
      <c r="X310" s="5"/>
      <c r="Y310" s="6"/>
      <c r="Z310" s="5"/>
    </row>
    <row r="311">
      <c r="G311" s="13"/>
      <c r="I311" s="10"/>
      <c r="J311" s="17"/>
      <c r="K311" s="17"/>
      <c r="M311" s="10"/>
      <c r="O311" s="10"/>
      <c r="R311" s="10"/>
      <c r="U311" s="11"/>
      <c r="V311" s="5"/>
      <c r="W311" s="5"/>
      <c r="X311" s="5"/>
      <c r="Y311" s="6"/>
      <c r="Z311" s="5"/>
    </row>
    <row r="312">
      <c r="G312" s="13"/>
      <c r="I312" s="10"/>
      <c r="J312" s="17"/>
      <c r="K312" s="17"/>
      <c r="M312" s="10"/>
      <c r="O312" s="10"/>
      <c r="R312" s="10"/>
      <c r="U312" s="11"/>
      <c r="V312" s="5"/>
      <c r="W312" s="5"/>
      <c r="X312" s="5"/>
      <c r="Y312" s="6"/>
      <c r="Z312" s="5"/>
    </row>
    <row r="313">
      <c r="G313" s="13"/>
      <c r="I313" s="10"/>
      <c r="J313" s="17"/>
      <c r="K313" s="17"/>
      <c r="M313" s="10"/>
      <c r="O313" s="10"/>
      <c r="R313" s="10"/>
      <c r="U313" s="11"/>
      <c r="V313" s="5"/>
      <c r="W313" s="5"/>
      <c r="X313" s="5"/>
      <c r="Y313" s="6"/>
      <c r="Z313" s="5"/>
    </row>
    <row r="314">
      <c r="G314" s="13"/>
      <c r="I314" s="10"/>
      <c r="J314" s="17"/>
      <c r="K314" s="17"/>
      <c r="M314" s="10"/>
      <c r="O314" s="10"/>
      <c r="R314" s="10"/>
      <c r="U314" s="11"/>
      <c r="V314" s="5"/>
      <c r="W314" s="5"/>
      <c r="X314" s="5"/>
      <c r="Y314" s="6"/>
      <c r="Z314" s="5"/>
    </row>
    <row r="315">
      <c r="G315" s="13"/>
      <c r="I315" s="10"/>
      <c r="J315" s="17"/>
      <c r="K315" s="17"/>
      <c r="M315" s="10"/>
      <c r="O315" s="10"/>
      <c r="R315" s="10"/>
      <c r="U315" s="11"/>
      <c r="V315" s="5"/>
      <c r="W315" s="5"/>
      <c r="X315" s="5"/>
      <c r="Y315" s="6"/>
      <c r="Z315" s="5"/>
    </row>
    <row r="316">
      <c r="G316" s="13"/>
      <c r="I316" s="10"/>
      <c r="J316" s="17"/>
      <c r="K316" s="17"/>
      <c r="M316" s="10"/>
      <c r="O316" s="10"/>
      <c r="R316" s="10"/>
      <c r="U316" s="11"/>
      <c r="V316" s="5"/>
      <c r="W316" s="5"/>
      <c r="X316" s="5"/>
      <c r="Y316" s="6"/>
      <c r="Z316" s="5"/>
    </row>
    <row r="317">
      <c r="G317" s="13"/>
      <c r="I317" s="10"/>
      <c r="J317" s="17"/>
      <c r="K317" s="17"/>
      <c r="M317" s="10"/>
      <c r="O317" s="10"/>
      <c r="R317" s="10"/>
      <c r="U317" s="11"/>
      <c r="V317" s="5"/>
      <c r="W317" s="5"/>
      <c r="X317" s="5"/>
      <c r="Y317" s="6"/>
      <c r="Z317" s="5"/>
    </row>
    <row r="318">
      <c r="G318" s="13"/>
      <c r="I318" s="10"/>
      <c r="J318" s="17"/>
      <c r="K318" s="17"/>
      <c r="M318" s="10"/>
      <c r="O318" s="10"/>
      <c r="R318" s="10"/>
      <c r="U318" s="11"/>
      <c r="V318" s="5"/>
      <c r="W318" s="5"/>
      <c r="X318" s="5"/>
      <c r="Y318" s="6"/>
      <c r="Z318" s="5"/>
    </row>
    <row r="319">
      <c r="G319" s="13"/>
      <c r="I319" s="10"/>
      <c r="J319" s="17"/>
      <c r="K319" s="17"/>
      <c r="M319" s="10"/>
      <c r="O319" s="10"/>
      <c r="R319" s="10"/>
      <c r="U319" s="11"/>
      <c r="V319" s="5"/>
      <c r="W319" s="5"/>
      <c r="X319" s="5"/>
      <c r="Y319" s="6"/>
      <c r="Z319" s="5"/>
    </row>
    <row r="320">
      <c r="G320" s="13"/>
      <c r="I320" s="10"/>
      <c r="J320" s="17"/>
      <c r="K320" s="17"/>
      <c r="M320" s="10"/>
      <c r="O320" s="10"/>
      <c r="R320" s="10"/>
      <c r="U320" s="11"/>
      <c r="V320" s="5"/>
      <c r="W320" s="5"/>
      <c r="X320" s="5"/>
      <c r="Y320" s="6"/>
      <c r="Z320" s="5"/>
    </row>
    <row r="321">
      <c r="G321" s="13"/>
      <c r="I321" s="10"/>
      <c r="J321" s="17"/>
      <c r="K321" s="17"/>
      <c r="M321" s="10"/>
      <c r="O321" s="10"/>
      <c r="R321" s="10"/>
      <c r="U321" s="11"/>
      <c r="V321" s="5"/>
      <c r="W321" s="5"/>
      <c r="X321" s="5"/>
      <c r="Y321" s="6"/>
      <c r="Z321" s="5"/>
    </row>
    <row r="322">
      <c r="G322" s="13"/>
      <c r="I322" s="10"/>
      <c r="J322" s="17"/>
      <c r="K322" s="17"/>
      <c r="M322" s="10"/>
      <c r="O322" s="10"/>
      <c r="R322" s="10"/>
      <c r="U322" s="11"/>
      <c r="V322" s="5"/>
      <c r="W322" s="5"/>
      <c r="X322" s="5"/>
      <c r="Y322" s="6"/>
      <c r="Z322" s="5"/>
    </row>
    <row r="323">
      <c r="G323" s="13"/>
      <c r="I323" s="10"/>
      <c r="J323" s="17"/>
      <c r="K323" s="17"/>
      <c r="M323" s="10"/>
      <c r="O323" s="10"/>
      <c r="R323" s="10"/>
      <c r="U323" s="11"/>
      <c r="V323" s="5"/>
      <c r="W323" s="5"/>
      <c r="X323" s="5"/>
      <c r="Y323" s="6"/>
      <c r="Z323" s="5"/>
    </row>
    <row r="324">
      <c r="G324" s="13"/>
      <c r="I324" s="10"/>
      <c r="J324" s="17"/>
      <c r="K324" s="17"/>
      <c r="M324" s="10"/>
      <c r="O324" s="10"/>
      <c r="R324" s="10"/>
      <c r="U324" s="11"/>
      <c r="V324" s="5"/>
      <c r="W324" s="5"/>
      <c r="X324" s="5"/>
      <c r="Y324" s="6"/>
      <c r="Z324" s="5"/>
    </row>
    <row r="325">
      <c r="G325" s="13"/>
      <c r="I325" s="10"/>
      <c r="J325" s="17"/>
      <c r="K325" s="17"/>
      <c r="M325" s="10"/>
      <c r="O325" s="10"/>
      <c r="R325" s="10"/>
      <c r="U325" s="11"/>
      <c r="V325" s="5"/>
      <c r="W325" s="5"/>
      <c r="X325" s="5"/>
      <c r="Y325" s="6"/>
      <c r="Z325" s="5"/>
    </row>
    <row r="326">
      <c r="G326" s="13"/>
      <c r="I326" s="10"/>
      <c r="J326" s="17"/>
      <c r="K326" s="17"/>
      <c r="M326" s="10"/>
      <c r="O326" s="10"/>
      <c r="R326" s="10"/>
      <c r="U326" s="11"/>
      <c r="V326" s="5"/>
      <c r="W326" s="5"/>
      <c r="X326" s="5"/>
      <c r="Y326" s="6"/>
      <c r="Z326" s="5"/>
    </row>
    <row r="327">
      <c r="G327" s="13"/>
      <c r="I327" s="10"/>
      <c r="J327" s="17"/>
      <c r="K327" s="17"/>
      <c r="M327" s="10"/>
      <c r="O327" s="10"/>
      <c r="R327" s="10"/>
      <c r="U327" s="11"/>
      <c r="V327" s="5"/>
      <c r="W327" s="5"/>
      <c r="X327" s="5"/>
      <c r="Y327" s="6"/>
      <c r="Z327" s="5"/>
    </row>
    <row r="328">
      <c r="G328" s="13"/>
      <c r="I328" s="10"/>
      <c r="J328" s="17"/>
      <c r="K328" s="17"/>
      <c r="M328" s="10"/>
      <c r="O328" s="10"/>
      <c r="R328" s="10"/>
      <c r="U328" s="11"/>
      <c r="V328" s="5"/>
      <c r="W328" s="5"/>
      <c r="X328" s="5"/>
      <c r="Y328" s="6"/>
      <c r="Z328" s="5"/>
    </row>
    <row r="329">
      <c r="G329" s="13"/>
      <c r="I329" s="10"/>
      <c r="J329" s="17"/>
      <c r="K329" s="17"/>
      <c r="M329" s="10"/>
      <c r="O329" s="10"/>
      <c r="R329" s="10"/>
      <c r="U329" s="11"/>
      <c r="V329" s="5"/>
      <c r="W329" s="5"/>
      <c r="X329" s="5"/>
      <c r="Y329" s="6"/>
      <c r="Z329" s="5"/>
    </row>
    <row r="330">
      <c r="G330" s="13"/>
      <c r="I330" s="10"/>
      <c r="J330" s="17"/>
      <c r="K330" s="17"/>
      <c r="M330" s="10"/>
      <c r="O330" s="10"/>
      <c r="R330" s="10"/>
      <c r="U330" s="11"/>
      <c r="V330" s="5"/>
      <c r="W330" s="5"/>
      <c r="X330" s="5"/>
      <c r="Y330" s="6"/>
      <c r="Z330" s="5"/>
    </row>
    <row r="331">
      <c r="G331" s="13"/>
      <c r="I331" s="10"/>
      <c r="J331" s="17"/>
      <c r="K331" s="17"/>
      <c r="M331" s="10"/>
      <c r="O331" s="10"/>
      <c r="R331" s="10"/>
      <c r="U331" s="11"/>
      <c r="V331" s="5"/>
      <c r="W331" s="5"/>
      <c r="X331" s="5"/>
      <c r="Y331" s="6"/>
      <c r="Z331" s="5"/>
    </row>
    <row r="332">
      <c r="G332" s="13"/>
      <c r="I332" s="10"/>
      <c r="J332" s="17"/>
      <c r="K332" s="17"/>
      <c r="M332" s="10"/>
      <c r="O332" s="10"/>
      <c r="R332" s="10"/>
      <c r="U332" s="11"/>
      <c r="V332" s="5"/>
      <c r="W332" s="5"/>
      <c r="X332" s="5"/>
      <c r="Y332" s="6"/>
      <c r="Z332" s="5"/>
    </row>
    <row r="333">
      <c r="G333" s="13"/>
      <c r="I333" s="10"/>
      <c r="J333" s="17"/>
      <c r="K333" s="17"/>
      <c r="M333" s="10"/>
      <c r="O333" s="10"/>
      <c r="R333" s="10"/>
      <c r="U333" s="11"/>
      <c r="V333" s="5"/>
      <c r="W333" s="5"/>
      <c r="X333" s="5"/>
      <c r="Y333" s="6"/>
      <c r="Z333" s="5"/>
    </row>
    <row r="334">
      <c r="G334" s="13"/>
      <c r="I334" s="10"/>
      <c r="J334" s="17"/>
      <c r="K334" s="17"/>
      <c r="M334" s="10"/>
      <c r="O334" s="10"/>
      <c r="R334" s="10"/>
      <c r="U334" s="11"/>
      <c r="V334" s="5"/>
      <c r="W334" s="5"/>
      <c r="X334" s="5"/>
      <c r="Y334" s="6"/>
      <c r="Z334" s="5"/>
    </row>
    <row r="335">
      <c r="G335" s="13"/>
      <c r="I335" s="10"/>
      <c r="J335" s="17"/>
      <c r="K335" s="17"/>
      <c r="M335" s="10"/>
      <c r="O335" s="10"/>
      <c r="R335" s="13"/>
      <c r="U335" s="11"/>
      <c r="V335" s="5"/>
      <c r="W335" s="5"/>
      <c r="X335" s="5"/>
      <c r="Y335" s="6"/>
      <c r="Z335" s="5"/>
    </row>
    <row r="336">
      <c r="G336" s="13"/>
      <c r="I336" s="10"/>
      <c r="J336" s="17"/>
      <c r="K336" s="17"/>
      <c r="M336" s="10"/>
      <c r="O336" s="10"/>
      <c r="R336" s="13"/>
      <c r="U336" s="11"/>
      <c r="V336" s="5"/>
      <c r="W336" s="5"/>
      <c r="X336" s="5"/>
      <c r="Y336" s="6"/>
      <c r="Z336" s="5"/>
    </row>
    <row r="337">
      <c r="G337" s="13"/>
      <c r="I337" s="10"/>
      <c r="J337" s="17"/>
      <c r="K337" s="17"/>
      <c r="M337" s="10"/>
      <c r="O337" s="10"/>
      <c r="R337" s="10"/>
      <c r="U337" s="11"/>
      <c r="V337" s="5"/>
      <c r="W337" s="5"/>
      <c r="X337" s="5"/>
      <c r="Y337" s="6"/>
      <c r="Z337" s="5"/>
    </row>
    <row r="338">
      <c r="G338" s="13"/>
      <c r="I338" s="10"/>
      <c r="J338" s="17"/>
      <c r="K338" s="17"/>
      <c r="M338" s="10"/>
      <c r="O338" s="10"/>
      <c r="R338" s="10"/>
      <c r="U338" s="11"/>
      <c r="V338" s="5"/>
      <c r="W338" s="5"/>
      <c r="X338" s="5"/>
      <c r="Y338" s="6"/>
      <c r="Z338" s="5"/>
    </row>
    <row r="339">
      <c r="G339" s="13"/>
      <c r="I339" s="10"/>
      <c r="J339" s="17"/>
      <c r="K339" s="17"/>
      <c r="M339" s="10"/>
      <c r="O339" s="10"/>
      <c r="R339" s="13"/>
      <c r="U339" s="11"/>
      <c r="V339" s="5"/>
      <c r="W339" s="5"/>
      <c r="X339" s="5"/>
      <c r="Y339" s="6"/>
      <c r="Z339" s="5"/>
    </row>
    <row r="340">
      <c r="G340" s="13"/>
      <c r="I340" s="10"/>
      <c r="J340" s="17"/>
      <c r="K340" s="17"/>
      <c r="M340" s="10"/>
      <c r="O340" s="10"/>
      <c r="R340" s="13"/>
      <c r="U340" s="11"/>
      <c r="V340" s="5"/>
      <c r="W340" s="5"/>
      <c r="X340" s="5"/>
      <c r="Y340" s="6"/>
      <c r="Z340" s="5"/>
    </row>
    <row r="341">
      <c r="G341" s="13"/>
      <c r="I341" s="10"/>
      <c r="J341" s="17"/>
      <c r="K341" s="17"/>
      <c r="M341" s="10"/>
      <c r="O341" s="10"/>
      <c r="R341" s="10"/>
      <c r="U341" s="11"/>
      <c r="V341" s="5"/>
      <c r="W341" s="5"/>
      <c r="X341" s="5"/>
      <c r="Y341" s="6"/>
      <c r="Z341" s="5"/>
    </row>
    <row r="342">
      <c r="G342" s="13"/>
      <c r="I342" s="10"/>
      <c r="J342" s="17"/>
      <c r="K342" s="17"/>
      <c r="M342" s="10"/>
      <c r="O342" s="10"/>
      <c r="R342" s="13"/>
      <c r="U342" s="11"/>
      <c r="V342" s="5"/>
      <c r="W342" s="5"/>
      <c r="X342" s="5"/>
      <c r="Y342" s="6"/>
      <c r="Z342" s="5"/>
    </row>
    <row r="343">
      <c r="G343" s="13"/>
      <c r="I343" s="10"/>
      <c r="J343" s="17"/>
      <c r="K343" s="17"/>
      <c r="M343" s="10"/>
      <c r="O343" s="10"/>
      <c r="R343" s="10"/>
      <c r="U343" s="11"/>
      <c r="V343" s="5"/>
      <c r="W343" s="5"/>
      <c r="X343" s="5"/>
      <c r="Y343" s="6"/>
      <c r="Z343" s="5"/>
    </row>
    <row r="344">
      <c r="G344" s="13"/>
      <c r="I344" s="10"/>
      <c r="J344" s="17"/>
      <c r="K344" s="17"/>
      <c r="M344" s="10"/>
      <c r="O344" s="10"/>
      <c r="R344" s="10"/>
      <c r="U344" s="11"/>
      <c r="V344" s="5"/>
      <c r="W344" s="5"/>
      <c r="X344" s="5"/>
      <c r="Y344" s="6"/>
      <c r="Z344" s="5"/>
    </row>
    <row r="345">
      <c r="G345" s="13"/>
      <c r="I345" s="10"/>
      <c r="J345" s="17"/>
      <c r="K345" s="17"/>
      <c r="M345" s="10"/>
      <c r="O345" s="10"/>
      <c r="R345" s="13"/>
      <c r="U345" s="11"/>
      <c r="V345" s="5"/>
      <c r="W345" s="5"/>
      <c r="X345" s="5"/>
      <c r="Y345" s="6"/>
      <c r="Z345" s="5"/>
    </row>
    <row r="346">
      <c r="G346" s="13"/>
      <c r="I346" s="10"/>
      <c r="J346" s="17"/>
      <c r="K346" s="17"/>
      <c r="M346" s="10"/>
      <c r="O346" s="10"/>
      <c r="R346" s="10"/>
      <c r="U346" s="11"/>
      <c r="V346" s="5"/>
      <c r="W346" s="5"/>
      <c r="X346" s="5"/>
      <c r="Y346" s="6"/>
      <c r="Z346" s="5"/>
    </row>
    <row r="347">
      <c r="G347" s="13"/>
      <c r="I347" s="10"/>
      <c r="J347" s="17"/>
      <c r="K347" s="17"/>
      <c r="M347" s="10"/>
      <c r="O347" s="10"/>
      <c r="R347" s="10"/>
      <c r="U347" s="11"/>
      <c r="V347" s="5"/>
      <c r="W347" s="5"/>
      <c r="X347" s="5"/>
      <c r="Y347" s="6"/>
      <c r="Z347" s="5"/>
    </row>
    <row r="348">
      <c r="G348" s="13"/>
      <c r="I348" s="10"/>
      <c r="J348" s="17"/>
      <c r="K348" s="17"/>
      <c r="M348" s="10"/>
      <c r="O348" s="10"/>
      <c r="R348" s="13"/>
      <c r="U348" s="11"/>
      <c r="V348" s="5"/>
      <c r="W348" s="5"/>
      <c r="X348" s="5"/>
      <c r="Y348" s="6"/>
      <c r="Z348" s="5"/>
    </row>
    <row r="349">
      <c r="G349" s="13"/>
      <c r="I349" s="10"/>
      <c r="J349" s="17"/>
      <c r="K349" s="17"/>
      <c r="M349" s="10"/>
      <c r="O349" s="10"/>
      <c r="R349" s="10"/>
      <c r="U349" s="11"/>
      <c r="V349" s="5"/>
      <c r="W349" s="5"/>
      <c r="X349" s="5"/>
      <c r="Y349" s="6"/>
      <c r="Z349" s="5"/>
    </row>
    <row r="350">
      <c r="G350" s="13"/>
      <c r="I350" s="10"/>
      <c r="J350" s="17"/>
      <c r="K350" s="17"/>
      <c r="M350" s="10"/>
      <c r="O350" s="10"/>
      <c r="R350" s="10"/>
      <c r="U350" s="11"/>
      <c r="V350" s="5"/>
      <c r="W350" s="5"/>
      <c r="X350" s="5"/>
      <c r="Y350" s="6"/>
      <c r="Z350" s="5"/>
    </row>
    <row r="351">
      <c r="G351" s="13"/>
      <c r="I351" s="10"/>
      <c r="J351" s="17"/>
      <c r="K351" s="17"/>
      <c r="M351" s="10"/>
      <c r="O351" s="10"/>
      <c r="R351" s="13"/>
      <c r="U351" s="11"/>
      <c r="V351" s="5"/>
      <c r="W351" s="5"/>
      <c r="X351" s="5"/>
      <c r="Y351" s="6"/>
      <c r="Z351" s="5"/>
    </row>
    <row r="352">
      <c r="G352" s="13"/>
      <c r="I352" s="10"/>
      <c r="J352" s="17"/>
      <c r="K352" s="17"/>
      <c r="M352" s="10"/>
      <c r="O352" s="10"/>
      <c r="R352" s="13"/>
      <c r="U352" s="11"/>
      <c r="V352" s="5"/>
      <c r="W352" s="5"/>
      <c r="X352" s="5"/>
      <c r="Y352" s="6"/>
      <c r="Z352" s="5"/>
    </row>
    <row r="353">
      <c r="G353" s="13"/>
      <c r="I353" s="10"/>
      <c r="J353" s="17"/>
      <c r="K353" s="17"/>
      <c r="M353" s="10"/>
      <c r="O353" s="10"/>
      <c r="R353" s="10"/>
      <c r="U353" s="11"/>
      <c r="V353" s="5"/>
      <c r="W353" s="5"/>
      <c r="X353" s="5"/>
      <c r="Y353" s="6"/>
      <c r="Z353" s="5"/>
    </row>
    <row r="354">
      <c r="G354" s="13"/>
      <c r="I354" s="10"/>
      <c r="J354" s="17"/>
      <c r="K354" s="17"/>
      <c r="M354" s="10"/>
      <c r="O354" s="10"/>
      <c r="R354" s="10"/>
      <c r="U354" s="11"/>
      <c r="V354" s="5"/>
      <c r="W354" s="5"/>
      <c r="X354" s="5"/>
      <c r="Y354" s="6"/>
      <c r="Z354" s="5"/>
    </row>
    <row r="355">
      <c r="G355" s="13"/>
      <c r="I355" s="10"/>
      <c r="J355" s="17"/>
      <c r="K355" s="17"/>
      <c r="M355" s="10"/>
      <c r="O355" s="10"/>
      <c r="R355" s="13"/>
      <c r="U355" s="11"/>
      <c r="V355" s="5"/>
      <c r="W355" s="5"/>
      <c r="X355" s="5"/>
      <c r="Y355" s="6"/>
      <c r="Z355" s="5"/>
    </row>
    <row r="356">
      <c r="G356" s="13"/>
      <c r="I356" s="10"/>
      <c r="J356" s="17"/>
      <c r="K356" s="17"/>
      <c r="M356" s="10"/>
      <c r="O356" s="10"/>
      <c r="R356" s="10"/>
      <c r="U356" s="11"/>
      <c r="V356" s="5"/>
      <c r="W356" s="5"/>
      <c r="X356" s="5"/>
      <c r="Y356" s="6"/>
      <c r="Z356" s="5"/>
    </row>
    <row r="357">
      <c r="G357" s="13"/>
      <c r="I357" s="10"/>
      <c r="J357" s="17"/>
      <c r="K357" s="17"/>
      <c r="M357" s="10"/>
      <c r="O357" s="10"/>
      <c r="R357" s="13"/>
      <c r="U357" s="11"/>
      <c r="V357" s="5"/>
      <c r="W357" s="5"/>
      <c r="X357" s="5"/>
      <c r="Y357" s="6"/>
      <c r="Z357" s="5"/>
    </row>
    <row r="358">
      <c r="G358" s="13"/>
      <c r="I358" s="10"/>
      <c r="J358" s="17"/>
      <c r="K358" s="17"/>
      <c r="M358" s="10"/>
      <c r="O358" s="10"/>
      <c r="R358" s="13"/>
      <c r="U358" s="11"/>
      <c r="V358" s="5"/>
      <c r="W358" s="5"/>
      <c r="X358" s="5"/>
      <c r="Y358" s="6"/>
      <c r="Z358" s="5"/>
    </row>
    <row r="359">
      <c r="G359" s="13"/>
      <c r="I359" s="10"/>
      <c r="J359" s="17"/>
      <c r="K359" s="17"/>
      <c r="M359" s="10"/>
      <c r="O359" s="10"/>
      <c r="R359" s="10"/>
      <c r="U359" s="11"/>
      <c r="V359" s="5"/>
      <c r="W359" s="5"/>
      <c r="X359" s="5"/>
      <c r="Y359" s="6"/>
      <c r="Z359" s="5"/>
    </row>
    <row r="360">
      <c r="G360" s="13"/>
      <c r="I360" s="10"/>
      <c r="J360" s="17"/>
      <c r="K360" s="17"/>
      <c r="M360" s="10"/>
      <c r="O360" s="10"/>
      <c r="R360" s="10"/>
      <c r="U360" s="11"/>
      <c r="V360" s="5"/>
      <c r="W360" s="5"/>
      <c r="X360" s="5"/>
      <c r="Y360" s="6"/>
      <c r="Z360" s="5"/>
    </row>
    <row r="361">
      <c r="G361" s="13"/>
      <c r="I361" s="10"/>
      <c r="J361" s="17"/>
      <c r="K361" s="17"/>
      <c r="M361" s="10"/>
      <c r="O361" s="10"/>
      <c r="R361" s="13"/>
      <c r="U361" s="11"/>
      <c r="V361" s="5"/>
      <c r="W361" s="5"/>
      <c r="X361" s="5"/>
      <c r="Y361" s="6"/>
      <c r="Z361" s="5"/>
    </row>
    <row r="362">
      <c r="G362" s="13"/>
      <c r="I362" s="10"/>
      <c r="J362" s="17"/>
      <c r="K362" s="17"/>
      <c r="M362" s="10"/>
      <c r="O362" s="10"/>
      <c r="R362" s="13"/>
      <c r="U362" s="11"/>
      <c r="V362" s="5"/>
      <c r="W362" s="5"/>
      <c r="X362" s="5"/>
      <c r="Y362" s="6"/>
      <c r="Z362" s="5"/>
    </row>
    <row r="363">
      <c r="G363" s="13"/>
      <c r="I363" s="10"/>
      <c r="J363" s="17"/>
      <c r="K363" s="17"/>
      <c r="M363" s="10"/>
      <c r="O363" s="10"/>
      <c r="R363" s="10"/>
      <c r="U363" s="11"/>
      <c r="V363" s="5"/>
      <c r="W363" s="5"/>
      <c r="X363" s="5"/>
      <c r="Y363" s="6"/>
      <c r="Z363" s="5"/>
    </row>
    <row r="364">
      <c r="G364" s="13"/>
      <c r="I364" s="10"/>
      <c r="J364" s="17"/>
      <c r="K364" s="17"/>
      <c r="M364" s="10"/>
      <c r="O364" s="10"/>
      <c r="R364" s="10"/>
      <c r="U364" s="11"/>
      <c r="V364" s="5"/>
      <c r="W364" s="5"/>
      <c r="X364" s="5"/>
      <c r="Y364" s="6"/>
      <c r="Z364" s="5"/>
    </row>
    <row r="365">
      <c r="G365" s="13"/>
      <c r="I365" s="10"/>
      <c r="J365" s="17"/>
      <c r="K365" s="17"/>
      <c r="M365" s="10"/>
      <c r="O365" s="10"/>
      <c r="R365" s="13"/>
      <c r="U365" s="11"/>
      <c r="V365" s="5"/>
      <c r="W365" s="5"/>
      <c r="X365" s="5"/>
      <c r="Y365" s="6"/>
      <c r="Z365" s="5"/>
    </row>
    <row r="366">
      <c r="G366" s="13"/>
      <c r="I366" s="10"/>
      <c r="J366" s="17"/>
      <c r="K366" s="17"/>
      <c r="M366" s="10"/>
      <c r="O366" s="10"/>
      <c r="R366" s="13"/>
      <c r="U366" s="11"/>
      <c r="V366" s="5"/>
      <c r="W366" s="5"/>
      <c r="X366" s="5"/>
      <c r="Y366" s="6"/>
      <c r="Z366" s="5"/>
    </row>
    <row r="367">
      <c r="G367" s="13"/>
      <c r="I367" s="10"/>
      <c r="J367" s="17"/>
      <c r="K367" s="17"/>
      <c r="M367" s="10"/>
      <c r="O367" s="10"/>
      <c r="R367" s="10"/>
      <c r="U367" s="11"/>
      <c r="V367" s="5"/>
      <c r="W367" s="5"/>
      <c r="X367" s="5"/>
      <c r="Y367" s="6"/>
      <c r="Z367" s="5"/>
    </row>
    <row r="368">
      <c r="G368" s="13"/>
      <c r="I368" s="10"/>
      <c r="J368" s="17"/>
      <c r="K368" s="17"/>
      <c r="M368" s="10"/>
      <c r="O368" s="10"/>
      <c r="R368" s="13"/>
      <c r="U368" s="11"/>
      <c r="V368" s="5"/>
      <c r="W368" s="5"/>
      <c r="X368" s="5"/>
      <c r="Y368" s="6"/>
      <c r="Z368" s="5"/>
    </row>
    <row r="369">
      <c r="G369" s="13"/>
      <c r="I369" s="10"/>
      <c r="J369" s="17"/>
      <c r="K369" s="17"/>
      <c r="M369" s="10"/>
      <c r="O369" s="10"/>
      <c r="R369" s="10"/>
      <c r="U369" s="11"/>
      <c r="V369" s="5"/>
      <c r="W369" s="5"/>
      <c r="X369" s="5"/>
      <c r="Y369" s="6"/>
      <c r="Z369" s="5"/>
    </row>
    <row r="370">
      <c r="G370" s="13"/>
      <c r="I370" s="10"/>
      <c r="J370" s="17"/>
      <c r="K370" s="17"/>
      <c r="M370" s="10"/>
      <c r="O370" s="10"/>
      <c r="R370" s="10"/>
      <c r="U370" s="11"/>
      <c r="V370" s="5"/>
      <c r="W370" s="5"/>
      <c r="X370" s="5"/>
      <c r="Y370" s="6"/>
      <c r="Z370" s="5"/>
    </row>
    <row r="371">
      <c r="G371" s="13"/>
      <c r="I371" s="10"/>
      <c r="J371" s="17"/>
      <c r="K371" s="17"/>
      <c r="M371" s="10"/>
      <c r="O371" s="10"/>
      <c r="R371" s="10"/>
      <c r="U371" s="11"/>
      <c r="V371" s="5"/>
      <c r="W371" s="5"/>
      <c r="X371" s="5"/>
      <c r="Y371" s="6"/>
      <c r="Z371" s="5"/>
    </row>
    <row r="372">
      <c r="G372" s="13"/>
      <c r="I372" s="10"/>
      <c r="J372" s="17"/>
      <c r="K372" s="17"/>
      <c r="M372" s="10"/>
      <c r="O372" s="10"/>
      <c r="R372" s="10"/>
      <c r="U372" s="11"/>
      <c r="V372" s="5"/>
      <c r="W372" s="5"/>
      <c r="X372" s="5"/>
      <c r="Y372" s="6"/>
      <c r="Z372" s="5"/>
    </row>
    <row r="373">
      <c r="G373" s="13"/>
      <c r="I373" s="10"/>
      <c r="J373" s="17"/>
      <c r="K373" s="17"/>
      <c r="M373" s="10"/>
      <c r="O373" s="10"/>
      <c r="R373" s="13"/>
      <c r="U373" s="11"/>
      <c r="V373" s="5"/>
      <c r="W373" s="5"/>
      <c r="X373" s="5"/>
      <c r="Y373" s="6"/>
      <c r="Z373" s="5"/>
    </row>
    <row r="374">
      <c r="G374" s="13"/>
      <c r="I374" s="10"/>
      <c r="J374" s="17"/>
      <c r="K374" s="17"/>
      <c r="M374" s="10"/>
      <c r="O374" s="10"/>
      <c r="R374" s="10"/>
      <c r="U374" s="11"/>
      <c r="V374" s="5"/>
      <c r="W374" s="5"/>
      <c r="X374" s="5"/>
      <c r="Y374" s="6"/>
      <c r="Z374" s="5"/>
    </row>
    <row r="375">
      <c r="G375" s="13"/>
      <c r="I375" s="10"/>
      <c r="J375" s="17"/>
      <c r="K375" s="17"/>
      <c r="M375" s="10"/>
      <c r="O375" s="10"/>
      <c r="R375" s="13"/>
      <c r="U375" s="11"/>
      <c r="V375" s="5"/>
      <c r="W375" s="5"/>
      <c r="X375" s="5"/>
      <c r="Y375" s="6"/>
      <c r="Z375" s="5"/>
    </row>
    <row r="376">
      <c r="G376" s="13"/>
      <c r="I376" s="10"/>
      <c r="J376" s="17"/>
      <c r="K376" s="17"/>
      <c r="M376" s="10"/>
      <c r="O376" s="10"/>
      <c r="R376" s="10"/>
      <c r="U376" s="11"/>
      <c r="V376" s="5"/>
      <c r="W376" s="5"/>
      <c r="X376" s="5"/>
      <c r="Y376" s="6"/>
      <c r="Z376" s="5"/>
    </row>
    <row r="377">
      <c r="G377" s="13"/>
      <c r="I377" s="10"/>
      <c r="J377" s="17"/>
      <c r="K377" s="17"/>
      <c r="M377" s="10"/>
      <c r="O377" s="10"/>
      <c r="R377" s="10"/>
      <c r="U377" s="11"/>
      <c r="V377" s="5"/>
      <c r="W377" s="5"/>
      <c r="X377" s="5"/>
      <c r="Y377" s="6"/>
      <c r="Z377" s="5"/>
    </row>
    <row r="378">
      <c r="G378" s="13"/>
      <c r="I378" s="10"/>
      <c r="J378" s="17"/>
      <c r="K378" s="17"/>
      <c r="M378" s="10"/>
      <c r="O378" s="10"/>
      <c r="R378" s="10"/>
      <c r="U378" s="11"/>
      <c r="V378" s="5"/>
      <c r="W378" s="5"/>
      <c r="X378" s="5"/>
      <c r="Y378" s="6"/>
      <c r="Z378" s="5"/>
    </row>
    <row r="379">
      <c r="G379" s="13"/>
      <c r="I379" s="10"/>
      <c r="J379" s="17"/>
      <c r="K379" s="17"/>
      <c r="M379" s="10"/>
      <c r="O379" s="10"/>
      <c r="R379" s="10"/>
      <c r="U379" s="11"/>
      <c r="V379" s="5"/>
      <c r="W379" s="5"/>
      <c r="X379" s="5"/>
      <c r="Y379" s="6"/>
      <c r="Z379" s="5"/>
    </row>
    <row r="380">
      <c r="G380" s="13"/>
      <c r="I380" s="10"/>
      <c r="J380" s="17"/>
      <c r="K380" s="17"/>
      <c r="M380" s="10"/>
      <c r="O380" s="10"/>
      <c r="R380" s="10"/>
      <c r="U380" s="11"/>
      <c r="V380" s="5"/>
      <c r="W380" s="5"/>
      <c r="X380" s="5"/>
      <c r="Y380" s="6"/>
      <c r="Z380" s="5"/>
    </row>
    <row r="381">
      <c r="G381" s="13"/>
      <c r="I381" s="10"/>
      <c r="J381" s="17"/>
      <c r="K381" s="17"/>
      <c r="M381" s="10"/>
      <c r="O381" s="10"/>
      <c r="R381" s="10"/>
      <c r="U381" s="11"/>
      <c r="V381" s="5"/>
      <c r="W381" s="5"/>
      <c r="X381" s="5"/>
      <c r="Y381" s="6"/>
      <c r="Z381" s="5"/>
    </row>
    <row r="382">
      <c r="G382" s="13"/>
      <c r="I382" s="10"/>
      <c r="J382" s="17"/>
      <c r="K382" s="17"/>
      <c r="M382" s="10"/>
      <c r="O382" s="10"/>
      <c r="R382" s="10"/>
      <c r="U382" s="11"/>
      <c r="V382" s="5"/>
      <c r="W382" s="5"/>
      <c r="X382" s="5"/>
      <c r="Y382" s="6"/>
      <c r="Z382" s="5"/>
    </row>
    <row r="383">
      <c r="G383" s="13"/>
      <c r="I383" s="10"/>
      <c r="J383" s="17"/>
      <c r="K383" s="17"/>
      <c r="M383" s="10"/>
      <c r="O383" s="10"/>
      <c r="R383" s="10"/>
      <c r="U383" s="11"/>
      <c r="V383" s="5"/>
      <c r="W383" s="5"/>
      <c r="X383" s="5"/>
      <c r="Y383" s="6"/>
      <c r="Z383" s="5"/>
    </row>
    <row r="384">
      <c r="G384" s="13"/>
      <c r="I384" s="10"/>
      <c r="J384" s="17"/>
      <c r="K384" s="17"/>
      <c r="M384" s="10"/>
      <c r="O384" s="10"/>
      <c r="R384" s="10"/>
      <c r="U384" s="11"/>
      <c r="V384" s="5"/>
      <c r="W384" s="5"/>
      <c r="X384" s="5"/>
      <c r="Y384" s="6"/>
      <c r="Z384" s="5"/>
    </row>
    <row r="385">
      <c r="G385" s="13"/>
      <c r="I385" s="10"/>
      <c r="J385" s="17"/>
      <c r="K385" s="17"/>
      <c r="M385" s="10"/>
      <c r="O385" s="10"/>
      <c r="R385" s="10"/>
      <c r="U385" s="11"/>
      <c r="V385" s="5"/>
      <c r="W385" s="5"/>
      <c r="X385" s="5"/>
      <c r="Y385" s="6"/>
      <c r="Z385" s="5"/>
    </row>
    <row r="386">
      <c r="G386" s="13"/>
      <c r="I386" s="10"/>
      <c r="J386" s="17"/>
      <c r="K386" s="17"/>
      <c r="M386" s="10"/>
      <c r="O386" s="10"/>
      <c r="R386" s="10"/>
      <c r="U386" s="11"/>
      <c r="V386" s="5"/>
      <c r="W386" s="5"/>
      <c r="X386" s="5"/>
      <c r="Y386" s="6"/>
      <c r="Z386" s="5"/>
    </row>
    <row r="387">
      <c r="G387" s="13"/>
      <c r="I387" s="10"/>
      <c r="J387" s="17"/>
      <c r="K387" s="17"/>
      <c r="M387" s="10"/>
      <c r="O387" s="10"/>
      <c r="R387" s="10"/>
      <c r="U387" s="11"/>
      <c r="V387" s="5"/>
      <c r="W387" s="5"/>
      <c r="X387" s="5"/>
      <c r="Y387" s="6"/>
      <c r="Z387" s="5"/>
    </row>
    <row r="388">
      <c r="G388" s="13"/>
      <c r="I388" s="10"/>
      <c r="J388" s="17"/>
      <c r="K388" s="17"/>
      <c r="M388" s="10"/>
      <c r="O388" s="10"/>
      <c r="R388" s="10"/>
      <c r="U388" s="11"/>
      <c r="V388" s="5"/>
      <c r="W388" s="5"/>
      <c r="X388" s="5"/>
      <c r="Y388" s="6"/>
      <c r="Z388" s="5"/>
    </row>
    <row r="389">
      <c r="G389" s="13"/>
      <c r="I389" s="13"/>
      <c r="J389" s="17"/>
      <c r="K389" s="20"/>
      <c r="M389" s="13"/>
      <c r="O389" s="13"/>
      <c r="R389" s="10"/>
      <c r="U389" s="11"/>
      <c r="V389" s="5"/>
      <c r="W389" s="5"/>
      <c r="X389" s="5"/>
      <c r="Y389" s="6"/>
      <c r="Z389" s="5"/>
    </row>
    <row r="390">
      <c r="E390" s="21"/>
      <c r="G390" s="13"/>
      <c r="I390" s="13"/>
      <c r="J390" s="17"/>
      <c r="K390" s="20"/>
      <c r="M390" s="13"/>
      <c r="N390" s="22"/>
      <c r="O390" s="13"/>
      <c r="R390" s="13"/>
      <c r="S390" s="22"/>
      <c r="U390" s="23"/>
      <c r="V390" s="5"/>
      <c r="W390" s="5"/>
      <c r="X390" s="5"/>
      <c r="Y390" s="6"/>
      <c r="Z390" s="5"/>
    </row>
    <row r="391">
      <c r="E391" s="21"/>
      <c r="G391" s="13"/>
      <c r="I391" s="13"/>
      <c r="J391" s="17"/>
      <c r="K391" s="20"/>
      <c r="M391" s="13"/>
      <c r="N391" s="22"/>
      <c r="O391" s="13"/>
      <c r="R391" s="13"/>
      <c r="S391" s="22"/>
      <c r="U391" s="23"/>
      <c r="V391" s="5"/>
      <c r="W391" s="5"/>
      <c r="X391" s="5"/>
      <c r="Y391" s="6"/>
      <c r="Z391" s="5"/>
    </row>
    <row r="392">
      <c r="E392" s="21"/>
      <c r="G392" s="13"/>
      <c r="I392" s="13"/>
      <c r="J392" s="17"/>
      <c r="K392" s="20"/>
      <c r="M392" s="13"/>
      <c r="N392" s="22"/>
      <c r="O392" s="13"/>
      <c r="R392" s="13"/>
      <c r="S392" s="22"/>
      <c r="U392" s="23"/>
      <c r="V392" s="5"/>
      <c r="W392" s="5"/>
      <c r="X392" s="5"/>
      <c r="Y392" s="6"/>
      <c r="Z392" s="5"/>
    </row>
    <row r="393">
      <c r="E393" s="21"/>
      <c r="G393" s="13"/>
      <c r="I393" s="13"/>
      <c r="J393" s="17"/>
      <c r="K393" s="20"/>
      <c r="M393" s="13"/>
      <c r="N393" s="22"/>
      <c r="O393" s="13"/>
      <c r="R393" s="13"/>
      <c r="S393" s="22"/>
      <c r="U393" s="23"/>
      <c r="V393" s="5"/>
      <c r="W393" s="5"/>
      <c r="X393" s="5"/>
      <c r="Y393" s="6"/>
      <c r="Z393" s="5"/>
    </row>
    <row r="394">
      <c r="E394" s="21"/>
      <c r="G394" s="13"/>
      <c r="I394" s="13"/>
      <c r="J394" s="17"/>
      <c r="K394" s="20"/>
      <c r="M394" s="13"/>
      <c r="N394" s="22"/>
      <c r="O394" s="13"/>
      <c r="R394" s="13"/>
      <c r="S394" s="22"/>
      <c r="U394" s="23"/>
      <c r="V394" s="5"/>
      <c r="W394" s="5"/>
      <c r="X394" s="5"/>
      <c r="Y394" s="6"/>
      <c r="Z394" s="5"/>
    </row>
    <row r="395">
      <c r="E395" s="21"/>
      <c r="G395" s="13"/>
      <c r="I395" s="13"/>
      <c r="J395" s="17"/>
      <c r="K395" s="20"/>
      <c r="M395" s="13"/>
      <c r="N395" s="22"/>
      <c r="O395" s="13"/>
      <c r="R395" s="13"/>
      <c r="S395" s="22"/>
      <c r="U395" s="23"/>
      <c r="V395" s="5"/>
      <c r="W395" s="5"/>
      <c r="X395" s="5"/>
      <c r="Y395" s="6"/>
      <c r="Z395" s="5"/>
    </row>
    <row r="396">
      <c r="E396" s="21"/>
      <c r="G396" s="13"/>
      <c r="I396" s="13"/>
      <c r="J396" s="17"/>
      <c r="K396" s="20"/>
      <c r="M396" s="13"/>
      <c r="N396" s="22"/>
      <c r="O396" s="13"/>
      <c r="R396" s="13"/>
      <c r="S396" s="22"/>
      <c r="U396" s="23"/>
      <c r="V396" s="5"/>
      <c r="W396" s="5"/>
      <c r="X396" s="5"/>
      <c r="Y396" s="6"/>
      <c r="Z396" s="5"/>
    </row>
    <row r="397">
      <c r="E397" s="21"/>
      <c r="G397" s="13"/>
      <c r="I397" s="13"/>
      <c r="J397" s="17"/>
      <c r="K397" s="20"/>
      <c r="M397" s="13"/>
      <c r="N397" s="22"/>
      <c r="O397" s="13"/>
      <c r="R397" s="13"/>
      <c r="S397" s="22"/>
      <c r="U397" s="23"/>
      <c r="V397" s="5"/>
      <c r="W397" s="5"/>
      <c r="X397" s="5"/>
      <c r="Y397" s="6"/>
      <c r="Z397" s="5"/>
    </row>
    <row r="398">
      <c r="E398" s="21"/>
      <c r="G398" s="13"/>
      <c r="I398" s="13"/>
      <c r="J398" s="17"/>
      <c r="K398" s="20"/>
      <c r="M398" s="13"/>
      <c r="N398" s="22"/>
      <c r="O398" s="13"/>
      <c r="R398" s="13"/>
      <c r="S398" s="22"/>
      <c r="U398" s="23"/>
      <c r="V398" s="5"/>
      <c r="W398" s="5"/>
      <c r="X398" s="5"/>
      <c r="Y398" s="6"/>
      <c r="Z398" s="5"/>
    </row>
    <row r="399">
      <c r="E399" s="21"/>
      <c r="G399" s="13"/>
      <c r="I399" s="13"/>
      <c r="J399" s="17"/>
      <c r="K399" s="20"/>
      <c r="M399" s="13"/>
      <c r="N399" s="22"/>
      <c r="O399" s="13"/>
      <c r="R399" s="13"/>
      <c r="S399" s="22"/>
      <c r="U399" s="23"/>
      <c r="V399" s="5"/>
      <c r="W399" s="5"/>
      <c r="X399" s="5"/>
      <c r="Y399" s="6"/>
      <c r="Z399" s="5"/>
    </row>
    <row r="400">
      <c r="E400" s="21"/>
      <c r="G400" s="13"/>
      <c r="I400" s="13"/>
      <c r="J400" s="17"/>
      <c r="K400" s="20"/>
      <c r="M400" s="13"/>
      <c r="N400" s="22"/>
      <c r="O400" s="13"/>
      <c r="R400" s="13"/>
      <c r="S400" s="22"/>
      <c r="U400" s="23"/>
      <c r="V400" s="5"/>
      <c r="W400" s="5"/>
      <c r="X400" s="5"/>
      <c r="Y400" s="6"/>
      <c r="Z400" s="5"/>
    </row>
    <row r="401">
      <c r="E401" s="21"/>
      <c r="G401" s="13"/>
      <c r="I401" s="13"/>
      <c r="J401" s="17"/>
      <c r="K401" s="20"/>
      <c r="M401" s="13"/>
      <c r="N401" s="22"/>
      <c r="O401" s="13"/>
      <c r="R401" s="13"/>
      <c r="S401" s="22"/>
      <c r="U401" s="23"/>
      <c r="V401" s="5"/>
      <c r="W401" s="5"/>
      <c r="X401" s="5"/>
      <c r="Y401" s="6"/>
      <c r="Z401" s="5"/>
    </row>
    <row r="402">
      <c r="E402" s="21"/>
      <c r="G402" s="13"/>
      <c r="I402" s="13"/>
      <c r="J402" s="17"/>
      <c r="K402" s="20"/>
      <c r="M402" s="13"/>
      <c r="N402" s="22"/>
      <c r="O402" s="13"/>
      <c r="R402" s="13"/>
      <c r="S402" s="22"/>
      <c r="U402" s="23"/>
      <c r="V402" s="5"/>
      <c r="W402" s="5"/>
      <c r="X402" s="5"/>
      <c r="Y402" s="6"/>
      <c r="Z402" s="5"/>
    </row>
    <row r="403">
      <c r="E403" s="21"/>
      <c r="G403" s="13"/>
      <c r="I403" s="13"/>
      <c r="J403" s="17"/>
      <c r="K403" s="20"/>
      <c r="M403" s="13"/>
      <c r="N403" s="22"/>
      <c r="O403" s="13"/>
      <c r="R403" s="13"/>
      <c r="S403" s="22"/>
      <c r="U403" s="23"/>
      <c r="V403" s="5"/>
      <c r="W403" s="5"/>
      <c r="X403" s="5"/>
      <c r="Y403" s="6"/>
      <c r="Z403" s="5"/>
    </row>
    <row r="404">
      <c r="E404" s="21"/>
      <c r="G404" s="13"/>
      <c r="I404" s="13"/>
      <c r="J404" s="17"/>
      <c r="K404" s="20"/>
      <c r="M404" s="13"/>
      <c r="N404" s="22"/>
      <c r="O404" s="13"/>
      <c r="R404" s="13"/>
      <c r="S404" s="22"/>
      <c r="U404" s="23"/>
      <c r="V404" s="5"/>
      <c r="W404" s="5"/>
      <c r="X404" s="5"/>
      <c r="Y404" s="6"/>
      <c r="Z404" s="5"/>
    </row>
    <row r="405">
      <c r="E405" s="21"/>
      <c r="G405" s="13"/>
      <c r="I405" s="13"/>
      <c r="J405" s="17"/>
      <c r="K405" s="20"/>
      <c r="M405" s="13"/>
      <c r="N405" s="22"/>
      <c r="O405" s="13"/>
      <c r="R405" s="13"/>
      <c r="S405" s="22"/>
      <c r="U405" s="23"/>
      <c r="V405" s="5"/>
      <c r="W405" s="5"/>
      <c r="X405" s="5"/>
      <c r="Y405" s="6"/>
      <c r="Z405" s="5"/>
    </row>
    <row r="406">
      <c r="E406" s="21"/>
      <c r="G406" s="13"/>
      <c r="I406" s="13"/>
      <c r="J406" s="17"/>
      <c r="K406" s="20"/>
      <c r="M406" s="13"/>
      <c r="N406" s="22"/>
      <c r="O406" s="13"/>
      <c r="R406" s="13"/>
      <c r="S406" s="22"/>
      <c r="U406" s="23"/>
      <c r="V406" s="5"/>
      <c r="W406" s="5"/>
      <c r="X406" s="5"/>
      <c r="Y406" s="6"/>
      <c r="Z406" s="5"/>
    </row>
    <row r="407">
      <c r="E407" s="21"/>
      <c r="G407" s="13"/>
      <c r="I407" s="13"/>
      <c r="J407" s="17"/>
      <c r="K407" s="20"/>
      <c r="M407" s="13"/>
      <c r="N407" s="22"/>
      <c r="O407" s="13"/>
      <c r="R407" s="13"/>
      <c r="S407" s="22"/>
      <c r="U407" s="23"/>
      <c r="V407" s="5"/>
      <c r="W407" s="5"/>
      <c r="X407" s="5"/>
      <c r="Y407" s="6"/>
      <c r="Z407" s="5"/>
    </row>
    <row r="408">
      <c r="E408" s="21"/>
      <c r="G408" s="13"/>
      <c r="I408" s="13"/>
      <c r="J408" s="17"/>
      <c r="K408" s="20"/>
      <c r="M408" s="13"/>
      <c r="N408" s="22"/>
      <c r="O408" s="13"/>
      <c r="R408" s="13"/>
      <c r="S408" s="22"/>
      <c r="U408" s="23"/>
      <c r="V408" s="5"/>
      <c r="W408" s="5"/>
      <c r="X408" s="5"/>
      <c r="Y408" s="6"/>
      <c r="Z408" s="5"/>
    </row>
    <row r="409">
      <c r="E409" s="21"/>
      <c r="G409" s="13"/>
      <c r="I409" s="13"/>
      <c r="J409" s="17"/>
      <c r="K409" s="20"/>
      <c r="M409" s="13"/>
      <c r="N409" s="22"/>
      <c r="O409" s="13"/>
      <c r="R409" s="13"/>
      <c r="S409" s="22"/>
      <c r="U409" s="23"/>
      <c r="V409" s="5"/>
      <c r="W409" s="5"/>
      <c r="X409" s="5"/>
      <c r="Y409" s="6"/>
      <c r="Z409" s="5"/>
    </row>
    <row r="410">
      <c r="E410" s="21"/>
      <c r="G410" s="13"/>
      <c r="I410" s="13"/>
      <c r="J410" s="17"/>
      <c r="K410" s="20"/>
      <c r="M410" s="13"/>
      <c r="N410" s="22"/>
      <c r="O410" s="13"/>
      <c r="R410" s="13"/>
      <c r="S410" s="22"/>
      <c r="U410" s="23"/>
      <c r="V410" s="5"/>
      <c r="W410" s="5"/>
      <c r="X410" s="5"/>
      <c r="Y410" s="6"/>
      <c r="Z410" s="5"/>
    </row>
    <row r="411">
      <c r="E411" s="21"/>
      <c r="G411" s="13"/>
      <c r="I411" s="13"/>
      <c r="J411" s="17"/>
      <c r="K411" s="20"/>
      <c r="M411" s="13"/>
      <c r="N411" s="22"/>
      <c r="O411" s="13"/>
      <c r="R411" s="13"/>
      <c r="S411" s="22"/>
      <c r="U411" s="23"/>
      <c r="V411" s="5"/>
      <c r="W411" s="5"/>
      <c r="X411" s="5"/>
      <c r="Y411" s="6"/>
      <c r="Z411" s="5"/>
    </row>
    <row r="412">
      <c r="E412" s="21"/>
      <c r="G412" s="13"/>
      <c r="I412" s="13"/>
      <c r="J412" s="17"/>
      <c r="K412" s="20"/>
      <c r="M412" s="13"/>
      <c r="N412" s="22"/>
      <c r="O412" s="13"/>
      <c r="R412" s="13"/>
      <c r="S412" s="22"/>
      <c r="U412" s="23"/>
      <c r="V412" s="5"/>
      <c r="W412" s="5"/>
      <c r="X412" s="5"/>
      <c r="Y412" s="6"/>
      <c r="Z412" s="5"/>
    </row>
    <row r="413">
      <c r="E413" s="21"/>
      <c r="G413" s="13"/>
      <c r="I413" s="13"/>
      <c r="J413" s="17"/>
      <c r="K413" s="20"/>
      <c r="M413" s="13"/>
      <c r="N413" s="22"/>
      <c r="O413" s="13"/>
      <c r="R413" s="13"/>
      <c r="S413" s="22"/>
      <c r="U413" s="23"/>
      <c r="V413" s="5"/>
      <c r="W413" s="5"/>
      <c r="X413" s="5"/>
      <c r="Y413" s="6"/>
      <c r="Z413" s="5"/>
    </row>
    <row r="414">
      <c r="E414" s="21"/>
      <c r="G414" s="13"/>
      <c r="I414" s="13"/>
      <c r="J414" s="17"/>
      <c r="K414" s="20"/>
      <c r="M414" s="13"/>
      <c r="N414" s="22"/>
      <c r="O414" s="13"/>
      <c r="R414" s="13"/>
      <c r="S414" s="22"/>
      <c r="U414" s="23"/>
      <c r="V414" s="5"/>
      <c r="W414" s="5"/>
      <c r="X414" s="5"/>
      <c r="Y414" s="6"/>
      <c r="Z414" s="5"/>
    </row>
    <row r="415">
      <c r="E415" s="21"/>
      <c r="G415" s="13"/>
      <c r="I415" s="13"/>
      <c r="J415" s="17"/>
      <c r="K415" s="20"/>
      <c r="M415" s="13"/>
      <c r="N415" s="22"/>
      <c r="O415" s="13"/>
      <c r="R415" s="13"/>
      <c r="S415" s="22"/>
      <c r="U415" s="23"/>
      <c r="V415" s="5"/>
      <c r="W415" s="5"/>
      <c r="X415" s="5"/>
      <c r="Y415" s="6"/>
      <c r="Z415" s="5"/>
    </row>
    <row r="416">
      <c r="E416" s="21"/>
      <c r="G416" s="13"/>
      <c r="I416" s="13"/>
      <c r="J416" s="17"/>
      <c r="K416" s="20"/>
      <c r="M416" s="13"/>
      <c r="N416" s="22"/>
      <c r="O416" s="13"/>
      <c r="R416" s="13"/>
      <c r="S416" s="22"/>
      <c r="U416" s="23"/>
      <c r="V416" s="5"/>
      <c r="W416" s="5"/>
      <c r="X416" s="5"/>
      <c r="Y416" s="6"/>
      <c r="Z416" s="5"/>
    </row>
    <row r="417">
      <c r="E417" s="21"/>
      <c r="G417" s="13"/>
      <c r="I417" s="13"/>
      <c r="J417" s="17"/>
      <c r="K417" s="20"/>
      <c r="M417" s="13"/>
      <c r="N417" s="22"/>
      <c r="O417" s="13"/>
      <c r="R417" s="13"/>
      <c r="S417" s="22"/>
      <c r="U417" s="23"/>
      <c r="V417" s="5"/>
      <c r="W417" s="5"/>
      <c r="X417" s="5"/>
      <c r="Y417" s="6"/>
      <c r="Z417" s="5"/>
    </row>
    <row r="418">
      <c r="E418" s="21"/>
      <c r="G418" s="13"/>
      <c r="I418" s="13"/>
      <c r="J418" s="17"/>
      <c r="K418" s="20"/>
      <c r="M418" s="13"/>
      <c r="N418" s="22"/>
      <c r="O418" s="13"/>
      <c r="R418" s="13"/>
      <c r="S418" s="22"/>
      <c r="U418" s="23"/>
      <c r="V418" s="5"/>
      <c r="W418" s="5"/>
      <c r="X418" s="5"/>
      <c r="Y418" s="6"/>
      <c r="Z418" s="5"/>
    </row>
    <row r="419">
      <c r="E419" s="21"/>
      <c r="G419" s="13"/>
      <c r="I419" s="13"/>
      <c r="J419" s="17"/>
      <c r="K419" s="20"/>
      <c r="M419" s="13"/>
      <c r="N419" s="22"/>
      <c r="O419" s="13"/>
      <c r="R419" s="13"/>
      <c r="S419" s="22"/>
      <c r="U419" s="23"/>
      <c r="V419" s="5"/>
      <c r="W419" s="5"/>
      <c r="X419" s="5"/>
      <c r="Y419" s="6"/>
      <c r="Z419" s="5"/>
    </row>
    <row r="420">
      <c r="E420" s="21"/>
      <c r="G420" s="13"/>
      <c r="I420" s="13"/>
      <c r="J420" s="17"/>
      <c r="K420" s="20"/>
      <c r="M420" s="13"/>
      <c r="N420" s="22"/>
      <c r="O420" s="13"/>
      <c r="R420" s="13"/>
      <c r="S420" s="22"/>
      <c r="U420" s="23"/>
      <c r="V420" s="5"/>
      <c r="W420" s="5"/>
      <c r="X420" s="5"/>
      <c r="Y420" s="6"/>
      <c r="Z420" s="5"/>
    </row>
    <row r="421">
      <c r="E421" s="21"/>
      <c r="G421" s="13"/>
      <c r="I421" s="13"/>
      <c r="J421" s="17"/>
      <c r="K421" s="20"/>
      <c r="M421" s="13"/>
      <c r="N421" s="22"/>
      <c r="O421" s="13"/>
      <c r="R421" s="13"/>
      <c r="S421" s="22"/>
      <c r="U421" s="23"/>
      <c r="V421" s="5"/>
      <c r="W421" s="5"/>
      <c r="X421" s="5"/>
      <c r="Y421" s="6"/>
      <c r="Z421" s="5"/>
    </row>
    <row r="422">
      <c r="E422" s="21"/>
      <c r="G422" s="13"/>
      <c r="I422" s="13"/>
      <c r="J422" s="17"/>
      <c r="K422" s="20"/>
      <c r="M422" s="13"/>
      <c r="N422" s="22"/>
      <c r="O422" s="13"/>
      <c r="R422" s="13"/>
      <c r="S422" s="22"/>
      <c r="U422" s="23"/>
      <c r="V422" s="5"/>
      <c r="W422" s="5"/>
      <c r="X422" s="5"/>
      <c r="Y422" s="6"/>
      <c r="Z422" s="5"/>
    </row>
    <row r="423">
      <c r="E423" s="21"/>
      <c r="G423" s="13"/>
      <c r="I423" s="13"/>
      <c r="J423" s="17"/>
      <c r="K423" s="20"/>
      <c r="M423" s="13"/>
      <c r="N423" s="22"/>
      <c r="O423" s="13"/>
      <c r="R423" s="13"/>
      <c r="S423" s="22"/>
      <c r="U423" s="23"/>
      <c r="V423" s="5"/>
      <c r="W423" s="5"/>
      <c r="X423" s="5"/>
      <c r="Y423" s="6"/>
      <c r="Z423" s="5"/>
    </row>
    <row r="424">
      <c r="E424" s="21"/>
      <c r="G424" s="13"/>
      <c r="I424" s="13"/>
      <c r="J424" s="17"/>
      <c r="K424" s="20"/>
      <c r="M424" s="13"/>
      <c r="N424" s="22"/>
      <c r="O424" s="13"/>
      <c r="R424" s="13"/>
      <c r="S424" s="22"/>
      <c r="U424" s="23"/>
      <c r="V424" s="5"/>
      <c r="W424" s="5"/>
      <c r="X424" s="5"/>
      <c r="Y424" s="6"/>
      <c r="Z424" s="5"/>
    </row>
    <row r="425">
      <c r="E425" s="21"/>
      <c r="G425" s="13"/>
      <c r="I425" s="13"/>
      <c r="J425" s="17"/>
      <c r="K425" s="20"/>
      <c r="M425" s="13"/>
      <c r="N425" s="22"/>
      <c r="O425" s="13"/>
      <c r="R425" s="13"/>
      <c r="S425" s="22"/>
      <c r="U425" s="23"/>
      <c r="V425" s="5"/>
      <c r="W425" s="5"/>
      <c r="X425" s="5"/>
      <c r="Y425" s="6"/>
      <c r="Z425" s="5"/>
    </row>
    <row r="426">
      <c r="E426" s="21"/>
      <c r="G426" s="13"/>
      <c r="I426" s="13"/>
      <c r="J426" s="17"/>
      <c r="K426" s="20"/>
      <c r="M426" s="13"/>
      <c r="N426" s="22"/>
      <c r="O426" s="13"/>
      <c r="R426" s="13"/>
      <c r="S426" s="22"/>
      <c r="U426" s="23"/>
      <c r="V426" s="5"/>
      <c r="W426" s="5"/>
      <c r="X426" s="5"/>
      <c r="Y426" s="6"/>
      <c r="Z426" s="5"/>
    </row>
    <row r="427">
      <c r="E427" s="21"/>
      <c r="G427" s="13"/>
      <c r="I427" s="13"/>
      <c r="J427" s="17"/>
      <c r="K427" s="20"/>
      <c r="M427" s="13"/>
      <c r="N427" s="22"/>
      <c r="O427" s="13"/>
      <c r="R427" s="13"/>
      <c r="S427" s="22"/>
      <c r="U427" s="23"/>
      <c r="V427" s="5"/>
      <c r="W427" s="5"/>
      <c r="X427" s="5"/>
      <c r="Y427" s="6"/>
      <c r="Z427" s="5"/>
    </row>
    <row r="428">
      <c r="E428" s="21"/>
      <c r="G428" s="13"/>
      <c r="I428" s="13"/>
      <c r="J428" s="17"/>
      <c r="K428" s="20"/>
      <c r="M428" s="13"/>
      <c r="N428" s="22"/>
      <c r="O428" s="13"/>
      <c r="R428" s="13"/>
      <c r="S428" s="22"/>
      <c r="U428" s="23"/>
      <c r="V428" s="5"/>
      <c r="W428" s="5"/>
      <c r="X428" s="5"/>
      <c r="Y428" s="6"/>
      <c r="Z428" s="5"/>
    </row>
    <row r="429">
      <c r="E429" s="21"/>
      <c r="G429" s="13"/>
      <c r="I429" s="13"/>
      <c r="J429" s="17"/>
      <c r="K429" s="20"/>
      <c r="M429" s="13"/>
      <c r="N429" s="22"/>
      <c r="O429" s="13"/>
      <c r="R429" s="13"/>
      <c r="S429" s="22"/>
      <c r="U429" s="23"/>
      <c r="V429" s="5"/>
      <c r="W429" s="5"/>
      <c r="X429" s="5"/>
      <c r="Y429" s="6"/>
      <c r="Z429" s="5"/>
    </row>
    <row r="430">
      <c r="E430" s="21"/>
      <c r="G430" s="13"/>
      <c r="I430" s="13"/>
      <c r="J430" s="17"/>
      <c r="K430" s="20"/>
      <c r="M430" s="13"/>
      <c r="N430" s="22"/>
      <c r="O430" s="13"/>
      <c r="R430" s="13"/>
      <c r="S430" s="22"/>
      <c r="U430" s="23"/>
      <c r="V430" s="5"/>
      <c r="W430" s="5"/>
      <c r="X430" s="5"/>
      <c r="Y430" s="6"/>
      <c r="Z430" s="5"/>
    </row>
    <row r="431">
      <c r="E431" s="21"/>
      <c r="G431" s="13"/>
      <c r="I431" s="13"/>
      <c r="J431" s="17"/>
      <c r="K431" s="20"/>
      <c r="M431" s="13"/>
      <c r="N431" s="22"/>
      <c r="O431" s="13"/>
      <c r="R431" s="13"/>
      <c r="S431" s="22"/>
      <c r="U431" s="23"/>
      <c r="V431" s="5"/>
      <c r="W431" s="5"/>
      <c r="X431" s="5"/>
      <c r="Y431" s="6"/>
      <c r="Z431" s="5"/>
    </row>
    <row r="432">
      <c r="E432" s="21"/>
      <c r="G432" s="13"/>
      <c r="I432" s="13"/>
      <c r="J432" s="17"/>
      <c r="K432" s="20"/>
      <c r="M432" s="13"/>
      <c r="N432" s="22"/>
      <c r="O432" s="13"/>
      <c r="R432" s="13"/>
      <c r="S432" s="22"/>
      <c r="U432" s="23"/>
      <c r="V432" s="5"/>
      <c r="W432" s="5"/>
      <c r="X432" s="5"/>
      <c r="Y432" s="6"/>
      <c r="Z432" s="5"/>
    </row>
    <row r="433">
      <c r="E433" s="21"/>
      <c r="G433" s="13"/>
      <c r="I433" s="13"/>
      <c r="J433" s="17"/>
      <c r="K433" s="20"/>
      <c r="M433" s="13"/>
      <c r="N433" s="22"/>
      <c r="O433" s="13"/>
      <c r="R433" s="13"/>
      <c r="S433" s="22"/>
      <c r="U433" s="23"/>
      <c r="V433" s="5"/>
      <c r="W433" s="5"/>
      <c r="X433" s="5"/>
      <c r="Y433" s="6"/>
      <c r="Z433" s="5"/>
    </row>
    <row r="434">
      <c r="E434" s="21"/>
      <c r="G434" s="13"/>
      <c r="I434" s="13"/>
      <c r="J434" s="17"/>
      <c r="K434" s="20"/>
      <c r="M434" s="13"/>
      <c r="N434" s="22"/>
      <c r="O434" s="13"/>
      <c r="R434" s="13"/>
      <c r="S434" s="22"/>
      <c r="U434" s="23"/>
      <c r="V434" s="5"/>
      <c r="W434" s="5"/>
      <c r="X434" s="5"/>
      <c r="Y434" s="6"/>
      <c r="Z434" s="5"/>
    </row>
    <row r="435">
      <c r="E435" s="21"/>
      <c r="G435" s="13"/>
      <c r="I435" s="13"/>
      <c r="J435" s="17"/>
      <c r="K435" s="20"/>
      <c r="M435" s="13"/>
      <c r="N435" s="22"/>
      <c r="O435" s="13"/>
      <c r="R435" s="13"/>
      <c r="S435" s="22"/>
      <c r="U435" s="23"/>
      <c r="V435" s="5"/>
      <c r="W435" s="5"/>
      <c r="X435" s="5"/>
      <c r="Y435" s="6"/>
      <c r="Z435" s="5"/>
    </row>
    <row r="436">
      <c r="E436" s="21"/>
      <c r="G436" s="13"/>
      <c r="I436" s="13"/>
      <c r="J436" s="17"/>
      <c r="K436" s="20"/>
      <c r="M436" s="13"/>
      <c r="N436" s="22"/>
      <c r="O436" s="13"/>
      <c r="R436" s="13"/>
      <c r="S436" s="22"/>
      <c r="U436" s="23"/>
      <c r="V436" s="5"/>
      <c r="W436" s="5"/>
      <c r="X436" s="5"/>
      <c r="Y436" s="6"/>
      <c r="Z436" s="5"/>
    </row>
    <row r="437">
      <c r="E437" s="21"/>
      <c r="G437" s="13"/>
      <c r="I437" s="13"/>
      <c r="J437" s="17"/>
      <c r="K437" s="20"/>
      <c r="M437" s="13"/>
      <c r="N437" s="22"/>
      <c r="O437" s="13"/>
      <c r="R437" s="13"/>
      <c r="S437" s="22"/>
      <c r="U437" s="23"/>
      <c r="V437" s="5"/>
      <c r="W437" s="5"/>
      <c r="X437" s="5"/>
      <c r="Y437" s="6"/>
      <c r="Z437" s="5"/>
    </row>
    <row r="438">
      <c r="E438" s="21"/>
      <c r="G438" s="13"/>
      <c r="I438" s="13"/>
      <c r="J438" s="17"/>
      <c r="K438" s="20"/>
      <c r="M438" s="13"/>
      <c r="N438" s="22"/>
      <c r="O438" s="13"/>
      <c r="R438" s="13"/>
      <c r="S438" s="22"/>
      <c r="U438" s="23"/>
      <c r="V438" s="5"/>
      <c r="W438" s="5"/>
      <c r="X438" s="5"/>
      <c r="Y438" s="6"/>
      <c r="Z438" s="5"/>
    </row>
    <row r="439">
      <c r="E439" s="21"/>
      <c r="G439" s="13"/>
      <c r="I439" s="13"/>
      <c r="J439" s="17"/>
      <c r="K439" s="20"/>
      <c r="M439" s="13"/>
      <c r="N439" s="22"/>
      <c r="O439" s="13"/>
      <c r="R439" s="13"/>
      <c r="S439" s="22"/>
      <c r="U439" s="23"/>
      <c r="V439" s="5"/>
      <c r="W439" s="5"/>
      <c r="X439" s="5"/>
      <c r="Y439" s="6"/>
      <c r="Z439" s="5"/>
    </row>
    <row r="440">
      <c r="E440" s="21"/>
      <c r="G440" s="13"/>
      <c r="I440" s="13"/>
      <c r="J440" s="17"/>
      <c r="K440" s="20"/>
      <c r="M440" s="13"/>
      <c r="N440" s="22"/>
      <c r="O440" s="13"/>
      <c r="R440" s="13"/>
      <c r="S440" s="22"/>
      <c r="U440" s="23"/>
      <c r="V440" s="5"/>
      <c r="W440" s="5"/>
      <c r="X440" s="5"/>
      <c r="Y440" s="6"/>
      <c r="Z440" s="5"/>
    </row>
    <row r="441">
      <c r="E441" s="21"/>
      <c r="G441" s="13"/>
      <c r="I441" s="13"/>
      <c r="J441" s="17"/>
      <c r="K441" s="20"/>
      <c r="M441" s="13"/>
      <c r="N441" s="22"/>
      <c r="O441" s="13"/>
      <c r="R441" s="13"/>
      <c r="S441" s="22"/>
      <c r="U441" s="23"/>
      <c r="V441" s="5"/>
      <c r="W441" s="5"/>
      <c r="X441" s="5"/>
      <c r="Y441" s="6"/>
      <c r="Z441" s="5"/>
    </row>
    <row r="442">
      <c r="E442" s="21"/>
      <c r="G442" s="13"/>
      <c r="I442" s="13"/>
      <c r="J442" s="17"/>
      <c r="K442" s="20"/>
      <c r="M442" s="13"/>
      <c r="N442" s="22"/>
      <c r="O442" s="13"/>
      <c r="R442" s="13"/>
      <c r="S442" s="22"/>
      <c r="U442" s="23"/>
      <c r="V442" s="5"/>
      <c r="W442" s="5"/>
      <c r="X442" s="5"/>
      <c r="Y442" s="6"/>
      <c r="Z442" s="5"/>
    </row>
    <row r="443">
      <c r="E443" s="21"/>
      <c r="G443" s="13"/>
      <c r="I443" s="13"/>
      <c r="J443" s="17"/>
      <c r="K443" s="20"/>
      <c r="M443" s="13"/>
      <c r="N443" s="22"/>
      <c r="O443" s="13"/>
      <c r="R443" s="13"/>
      <c r="S443" s="22"/>
      <c r="U443" s="23"/>
      <c r="V443" s="5"/>
      <c r="W443" s="5"/>
      <c r="X443" s="5"/>
      <c r="Y443" s="6"/>
      <c r="Z443" s="5"/>
    </row>
    <row r="444">
      <c r="E444" s="21"/>
      <c r="G444" s="13"/>
      <c r="I444" s="13"/>
      <c r="J444" s="17"/>
      <c r="K444" s="20"/>
      <c r="M444" s="13"/>
      <c r="N444" s="22"/>
      <c r="O444" s="13"/>
      <c r="R444" s="13"/>
      <c r="S444" s="22"/>
      <c r="U444" s="23"/>
      <c r="V444" s="5"/>
      <c r="W444" s="5"/>
      <c r="X444" s="5"/>
      <c r="Y444" s="6"/>
      <c r="Z444" s="5"/>
    </row>
    <row r="445">
      <c r="E445" s="21"/>
      <c r="G445" s="13"/>
      <c r="I445" s="13"/>
      <c r="J445" s="17"/>
      <c r="K445" s="20"/>
      <c r="M445" s="13"/>
      <c r="N445" s="22"/>
      <c r="O445" s="13"/>
      <c r="R445" s="13"/>
      <c r="S445" s="22"/>
      <c r="U445" s="23"/>
      <c r="V445" s="5"/>
      <c r="W445" s="5"/>
      <c r="X445" s="5"/>
      <c r="Y445" s="6"/>
      <c r="Z445" s="5"/>
    </row>
    <row r="446">
      <c r="E446" s="21"/>
      <c r="G446" s="13"/>
      <c r="I446" s="13"/>
      <c r="J446" s="17"/>
      <c r="K446" s="20"/>
      <c r="M446" s="13"/>
      <c r="N446" s="22"/>
      <c r="O446" s="13"/>
      <c r="R446" s="13"/>
      <c r="S446" s="22"/>
      <c r="U446" s="23"/>
      <c r="V446" s="5"/>
      <c r="W446" s="5"/>
      <c r="X446" s="5"/>
      <c r="Y446" s="6"/>
      <c r="Z446" s="5"/>
    </row>
    <row r="447">
      <c r="E447" s="21"/>
      <c r="G447" s="13"/>
      <c r="I447" s="13"/>
      <c r="J447" s="17"/>
      <c r="K447" s="20"/>
      <c r="M447" s="13"/>
      <c r="N447" s="22"/>
      <c r="O447" s="13"/>
      <c r="R447" s="13"/>
      <c r="S447" s="22"/>
      <c r="U447" s="23"/>
      <c r="V447" s="5"/>
      <c r="W447" s="5"/>
      <c r="X447" s="5"/>
      <c r="Y447" s="6"/>
      <c r="Z447" s="5"/>
    </row>
    <row r="448">
      <c r="E448" s="21"/>
      <c r="G448" s="13"/>
      <c r="I448" s="13"/>
      <c r="J448" s="17"/>
      <c r="K448" s="20"/>
      <c r="M448" s="13"/>
      <c r="N448" s="22"/>
      <c r="O448" s="13"/>
      <c r="R448" s="13"/>
      <c r="S448" s="22"/>
      <c r="U448" s="23"/>
      <c r="V448" s="5"/>
      <c r="W448" s="5"/>
      <c r="X448" s="5"/>
      <c r="Y448" s="6"/>
      <c r="Z448" s="5"/>
    </row>
    <row r="449">
      <c r="E449" s="21"/>
      <c r="G449" s="13"/>
      <c r="I449" s="13"/>
      <c r="J449" s="17"/>
      <c r="K449" s="20"/>
      <c r="M449" s="13"/>
      <c r="N449" s="22"/>
      <c r="O449" s="13"/>
      <c r="R449" s="13"/>
      <c r="S449" s="22"/>
      <c r="U449" s="23"/>
      <c r="V449" s="5"/>
      <c r="W449" s="5"/>
      <c r="X449" s="5"/>
      <c r="Y449" s="6"/>
      <c r="Z449" s="5"/>
    </row>
    <row r="450">
      <c r="E450" s="21"/>
      <c r="G450" s="13"/>
      <c r="I450" s="13"/>
      <c r="J450" s="17"/>
      <c r="K450" s="20"/>
      <c r="M450" s="13"/>
      <c r="N450" s="22"/>
      <c r="O450" s="13"/>
      <c r="R450" s="13"/>
      <c r="S450" s="22"/>
      <c r="U450" s="23"/>
      <c r="V450" s="5"/>
      <c r="W450" s="5"/>
      <c r="X450" s="5"/>
      <c r="Y450" s="6"/>
      <c r="Z450" s="5"/>
    </row>
    <row r="451">
      <c r="E451" s="21"/>
      <c r="G451" s="13"/>
      <c r="I451" s="13"/>
      <c r="J451" s="17"/>
      <c r="K451" s="20"/>
      <c r="M451" s="13"/>
      <c r="N451" s="22"/>
      <c r="O451" s="13"/>
      <c r="R451" s="13"/>
      <c r="S451" s="22"/>
      <c r="U451" s="23"/>
      <c r="V451" s="5"/>
      <c r="W451" s="5"/>
      <c r="X451" s="5"/>
      <c r="Y451" s="6"/>
      <c r="Z451" s="5"/>
    </row>
    <row r="452">
      <c r="E452" s="21"/>
      <c r="G452" s="13"/>
      <c r="I452" s="13"/>
      <c r="J452" s="17"/>
      <c r="K452" s="20"/>
      <c r="M452" s="13"/>
      <c r="N452" s="22"/>
      <c r="O452" s="13"/>
      <c r="R452" s="13"/>
      <c r="S452" s="22"/>
      <c r="U452" s="23"/>
      <c r="V452" s="5"/>
      <c r="W452" s="5"/>
      <c r="X452" s="5"/>
      <c r="Y452" s="6"/>
      <c r="Z452" s="5"/>
    </row>
    <row r="453">
      <c r="E453" s="21"/>
      <c r="G453" s="13"/>
      <c r="I453" s="13"/>
      <c r="J453" s="17"/>
      <c r="K453" s="20"/>
      <c r="M453" s="13"/>
      <c r="N453" s="22"/>
      <c r="O453" s="13"/>
      <c r="R453" s="13"/>
      <c r="S453" s="22"/>
      <c r="U453" s="23"/>
      <c r="V453" s="5"/>
      <c r="W453" s="5"/>
      <c r="X453" s="5"/>
      <c r="Y453" s="6"/>
      <c r="Z453" s="5"/>
    </row>
    <row r="454">
      <c r="E454" s="21"/>
      <c r="G454" s="13"/>
      <c r="I454" s="13"/>
      <c r="J454" s="17"/>
      <c r="K454" s="20"/>
      <c r="M454" s="13"/>
      <c r="N454" s="22"/>
      <c r="O454" s="13"/>
      <c r="R454" s="13"/>
      <c r="S454" s="22"/>
      <c r="U454" s="23"/>
      <c r="V454" s="5"/>
      <c r="W454" s="5"/>
      <c r="X454" s="5"/>
      <c r="Y454" s="6"/>
      <c r="Z454" s="5"/>
    </row>
    <row r="455">
      <c r="E455" s="21"/>
      <c r="G455" s="13"/>
      <c r="I455" s="13"/>
      <c r="J455" s="17"/>
      <c r="K455" s="20"/>
      <c r="M455" s="13"/>
      <c r="N455" s="22"/>
      <c r="O455" s="13"/>
      <c r="R455" s="13"/>
      <c r="S455" s="22"/>
      <c r="U455" s="23"/>
      <c r="V455" s="5"/>
      <c r="W455" s="5"/>
      <c r="X455" s="5"/>
      <c r="Y455" s="6"/>
      <c r="Z455" s="5"/>
    </row>
    <row r="456">
      <c r="E456" s="21"/>
      <c r="G456" s="13"/>
      <c r="I456" s="13"/>
      <c r="J456" s="17"/>
      <c r="K456" s="20"/>
      <c r="M456" s="13"/>
      <c r="N456" s="22"/>
      <c r="O456" s="13"/>
      <c r="R456" s="13"/>
      <c r="S456" s="22"/>
      <c r="U456" s="23"/>
      <c r="V456" s="5"/>
      <c r="W456" s="5"/>
      <c r="X456" s="5"/>
      <c r="Y456" s="6"/>
      <c r="Z456" s="5"/>
    </row>
    <row r="457">
      <c r="E457" s="21"/>
      <c r="G457" s="13"/>
      <c r="I457" s="13"/>
      <c r="J457" s="17"/>
      <c r="K457" s="20"/>
      <c r="M457" s="13"/>
      <c r="N457" s="22"/>
      <c r="O457" s="13"/>
      <c r="R457" s="13"/>
      <c r="S457" s="22"/>
      <c r="U457" s="23"/>
      <c r="V457" s="5"/>
      <c r="W457" s="5"/>
      <c r="X457" s="5"/>
      <c r="Y457" s="6"/>
      <c r="Z457" s="5"/>
    </row>
    <row r="458">
      <c r="E458" s="21"/>
      <c r="G458" s="13"/>
      <c r="I458" s="13"/>
      <c r="J458" s="17"/>
      <c r="K458" s="20"/>
      <c r="M458" s="13"/>
      <c r="N458" s="22"/>
      <c r="O458" s="13"/>
      <c r="R458" s="13"/>
      <c r="S458" s="22"/>
      <c r="U458" s="23"/>
      <c r="V458" s="5"/>
      <c r="W458" s="5"/>
      <c r="X458" s="5"/>
      <c r="Y458" s="6"/>
      <c r="Z458" s="5"/>
    </row>
    <row r="459">
      <c r="E459" s="21"/>
      <c r="G459" s="13"/>
      <c r="I459" s="13"/>
      <c r="J459" s="17"/>
      <c r="K459" s="20"/>
      <c r="M459" s="13"/>
      <c r="N459" s="22"/>
      <c r="O459" s="13"/>
      <c r="R459" s="13"/>
      <c r="S459" s="22"/>
      <c r="U459" s="23"/>
      <c r="V459" s="5"/>
      <c r="W459" s="5"/>
      <c r="X459" s="5"/>
      <c r="Y459" s="6"/>
      <c r="Z459" s="5"/>
    </row>
    <row r="460">
      <c r="E460" s="21"/>
      <c r="G460" s="13"/>
      <c r="I460" s="13"/>
      <c r="J460" s="17"/>
      <c r="K460" s="20"/>
      <c r="M460" s="13"/>
      <c r="N460" s="22"/>
      <c r="O460" s="13"/>
      <c r="R460" s="13"/>
      <c r="S460" s="22"/>
      <c r="U460" s="23"/>
      <c r="V460" s="5"/>
      <c r="W460" s="5"/>
      <c r="X460" s="5"/>
      <c r="Y460" s="6"/>
      <c r="Z460" s="5"/>
    </row>
    <row r="461">
      <c r="E461" s="21"/>
      <c r="G461" s="13"/>
      <c r="I461" s="13"/>
      <c r="J461" s="17"/>
      <c r="K461" s="20"/>
      <c r="M461" s="13"/>
      <c r="N461" s="22"/>
      <c r="O461" s="13"/>
      <c r="R461" s="13"/>
      <c r="S461" s="22"/>
      <c r="U461" s="23"/>
      <c r="V461" s="5"/>
      <c r="W461" s="5"/>
      <c r="X461" s="5"/>
      <c r="Y461" s="6"/>
      <c r="Z461" s="5"/>
    </row>
    <row r="462">
      <c r="E462" s="21"/>
      <c r="G462" s="13"/>
      <c r="I462" s="13"/>
      <c r="J462" s="17"/>
      <c r="K462" s="20"/>
      <c r="M462" s="13"/>
      <c r="N462" s="22"/>
      <c r="O462" s="13"/>
      <c r="R462" s="13"/>
      <c r="S462" s="22"/>
      <c r="U462" s="23"/>
      <c r="V462" s="5"/>
      <c r="W462" s="5"/>
      <c r="X462" s="5"/>
      <c r="Y462" s="6"/>
      <c r="Z462" s="5"/>
    </row>
    <row r="463">
      <c r="E463" s="21"/>
      <c r="G463" s="13"/>
      <c r="I463" s="13"/>
      <c r="J463" s="17"/>
      <c r="K463" s="20"/>
      <c r="M463" s="13"/>
      <c r="N463" s="22"/>
      <c r="O463" s="13"/>
      <c r="R463" s="13"/>
      <c r="S463" s="22"/>
      <c r="U463" s="23"/>
      <c r="V463" s="5"/>
      <c r="W463" s="5"/>
      <c r="X463" s="5"/>
      <c r="Y463" s="6"/>
      <c r="Z463" s="5"/>
    </row>
    <row r="464">
      <c r="E464" s="21"/>
      <c r="G464" s="13"/>
      <c r="I464" s="13"/>
      <c r="J464" s="17"/>
      <c r="K464" s="20"/>
      <c r="M464" s="13"/>
      <c r="N464" s="22"/>
      <c r="O464" s="13"/>
      <c r="R464" s="13"/>
      <c r="S464" s="22"/>
      <c r="U464" s="23"/>
      <c r="V464" s="5"/>
      <c r="W464" s="5"/>
      <c r="X464" s="5"/>
      <c r="Y464" s="6"/>
      <c r="Z464" s="5"/>
    </row>
    <row r="465">
      <c r="E465" s="21"/>
      <c r="G465" s="13"/>
      <c r="I465" s="13"/>
      <c r="J465" s="17"/>
      <c r="K465" s="20"/>
      <c r="M465" s="13"/>
      <c r="N465" s="22"/>
      <c r="O465" s="13"/>
      <c r="R465" s="13"/>
      <c r="S465" s="22"/>
      <c r="U465" s="23"/>
      <c r="V465" s="5"/>
      <c r="W465" s="5"/>
      <c r="X465" s="5"/>
      <c r="Y465" s="6"/>
      <c r="Z465" s="5"/>
    </row>
    <row r="466">
      <c r="E466" s="21"/>
      <c r="G466" s="13"/>
      <c r="I466" s="13"/>
      <c r="J466" s="17"/>
      <c r="K466" s="20"/>
      <c r="M466" s="13"/>
      <c r="N466" s="22"/>
      <c r="O466" s="13"/>
      <c r="R466" s="13"/>
      <c r="S466" s="22"/>
      <c r="U466" s="23"/>
      <c r="V466" s="5"/>
      <c r="W466" s="5"/>
      <c r="X466" s="5"/>
      <c r="Y466" s="6"/>
      <c r="Z466" s="5"/>
    </row>
    <row r="467">
      <c r="E467" s="21"/>
      <c r="G467" s="13"/>
      <c r="I467" s="13"/>
      <c r="J467" s="17"/>
      <c r="K467" s="20"/>
      <c r="M467" s="13"/>
      <c r="N467" s="22"/>
      <c r="O467" s="13"/>
      <c r="R467" s="13"/>
      <c r="S467" s="22"/>
      <c r="U467" s="23"/>
      <c r="V467" s="5"/>
      <c r="W467" s="5"/>
      <c r="X467" s="5"/>
      <c r="Y467" s="6"/>
      <c r="Z467" s="5"/>
    </row>
    <row r="468">
      <c r="E468" s="21"/>
      <c r="G468" s="13"/>
      <c r="I468" s="13"/>
      <c r="J468" s="17"/>
      <c r="K468" s="20"/>
      <c r="M468" s="13"/>
      <c r="N468" s="22"/>
      <c r="O468" s="13"/>
      <c r="R468" s="13"/>
      <c r="S468" s="22"/>
      <c r="U468" s="23"/>
      <c r="V468" s="5"/>
      <c r="W468" s="5"/>
      <c r="X468" s="5"/>
      <c r="Y468" s="6"/>
      <c r="Z468" s="5"/>
    </row>
    <row r="469">
      <c r="E469" s="21"/>
      <c r="G469" s="13"/>
      <c r="I469" s="13"/>
      <c r="J469" s="17"/>
      <c r="K469" s="20"/>
      <c r="M469" s="13"/>
      <c r="N469" s="22"/>
      <c r="O469" s="13"/>
      <c r="R469" s="13"/>
      <c r="S469" s="22"/>
      <c r="U469" s="23"/>
      <c r="V469" s="5"/>
      <c r="W469" s="5"/>
      <c r="X469" s="5"/>
      <c r="Y469" s="6"/>
      <c r="Z469" s="5"/>
    </row>
    <row r="470">
      <c r="E470" s="21"/>
      <c r="G470" s="13"/>
      <c r="I470" s="13"/>
      <c r="J470" s="17"/>
      <c r="K470" s="20"/>
      <c r="M470" s="13"/>
      <c r="N470" s="22"/>
      <c r="O470" s="13"/>
      <c r="R470" s="13"/>
      <c r="S470" s="22"/>
      <c r="U470" s="23"/>
      <c r="V470" s="5"/>
      <c r="W470" s="5"/>
      <c r="X470" s="5"/>
      <c r="Y470" s="6"/>
      <c r="Z470" s="5"/>
    </row>
    <row r="471">
      <c r="E471" s="21"/>
      <c r="G471" s="13"/>
      <c r="I471" s="13"/>
      <c r="J471" s="17"/>
      <c r="K471" s="20"/>
      <c r="M471" s="13"/>
      <c r="N471" s="22"/>
      <c r="O471" s="13"/>
      <c r="R471" s="13"/>
      <c r="S471" s="22"/>
      <c r="U471" s="23"/>
      <c r="V471" s="5"/>
      <c r="W471" s="5"/>
      <c r="X471" s="5"/>
      <c r="Y471" s="6"/>
      <c r="Z471" s="5"/>
    </row>
    <row r="472">
      <c r="E472" s="21"/>
      <c r="G472" s="13"/>
      <c r="I472" s="13"/>
      <c r="J472" s="17"/>
      <c r="K472" s="20"/>
      <c r="M472" s="13"/>
      <c r="N472" s="22"/>
      <c r="O472" s="13"/>
      <c r="R472" s="13"/>
      <c r="S472" s="22"/>
      <c r="U472" s="23"/>
      <c r="V472" s="5"/>
      <c r="W472" s="5"/>
      <c r="X472" s="5"/>
      <c r="Y472" s="6"/>
      <c r="Z472" s="5"/>
    </row>
    <row r="473">
      <c r="E473" s="21"/>
      <c r="G473" s="13"/>
      <c r="I473" s="13"/>
      <c r="J473" s="17"/>
      <c r="K473" s="20"/>
      <c r="M473" s="13"/>
      <c r="N473" s="22"/>
      <c r="O473" s="13"/>
      <c r="R473" s="13"/>
      <c r="S473" s="22"/>
      <c r="U473" s="23"/>
      <c r="V473" s="5"/>
      <c r="W473" s="5"/>
      <c r="X473" s="5"/>
      <c r="Y473" s="6"/>
      <c r="Z473" s="5"/>
    </row>
    <row r="474">
      <c r="E474" s="21"/>
      <c r="G474" s="13"/>
      <c r="I474" s="13"/>
      <c r="J474" s="17"/>
      <c r="K474" s="20"/>
      <c r="M474" s="13"/>
      <c r="N474" s="22"/>
      <c r="O474" s="13"/>
      <c r="R474" s="13"/>
      <c r="S474" s="22"/>
      <c r="U474" s="23"/>
      <c r="V474" s="5"/>
      <c r="W474" s="5"/>
      <c r="X474" s="5"/>
      <c r="Y474" s="6"/>
      <c r="Z474" s="5"/>
    </row>
    <row r="475">
      <c r="E475" s="21"/>
      <c r="G475" s="13"/>
      <c r="I475" s="13"/>
      <c r="J475" s="17"/>
      <c r="K475" s="20"/>
      <c r="M475" s="13"/>
      <c r="N475" s="22"/>
      <c r="O475" s="13"/>
      <c r="R475" s="13"/>
      <c r="S475" s="22"/>
      <c r="U475" s="23"/>
      <c r="V475" s="5"/>
      <c r="W475" s="5"/>
      <c r="X475" s="5"/>
      <c r="Y475" s="6"/>
      <c r="Z475" s="5"/>
    </row>
    <row r="476">
      <c r="E476" s="21"/>
      <c r="G476" s="13"/>
      <c r="I476" s="13"/>
      <c r="J476" s="17"/>
      <c r="K476" s="20"/>
      <c r="M476" s="13"/>
      <c r="N476" s="22"/>
      <c r="O476" s="13"/>
      <c r="R476" s="13"/>
      <c r="S476" s="22"/>
      <c r="U476" s="23"/>
      <c r="V476" s="5"/>
      <c r="W476" s="5"/>
      <c r="X476" s="5"/>
      <c r="Y476" s="6"/>
      <c r="Z476" s="5"/>
    </row>
    <row r="477">
      <c r="E477" s="21"/>
      <c r="G477" s="13"/>
      <c r="I477" s="13"/>
      <c r="J477" s="17"/>
      <c r="K477" s="20"/>
      <c r="M477" s="13"/>
      <c r="N477" s="22"/>
      <c r="O477" s="13"/>
      <c r="R477" s="13"/>
      <c r="S477" s="22"/>
      <c r="U477" s="23"/>
      <c r="V477" s="5"/>
      <c r="W477" s="5"/>
      <c r="X477" s="5"/>
      <c r="Y477" s="6"/>
      <c r="Z477" s="5"/>
    </row>
    <row r="478">
      <c r="E478" s="21"/>
      <c r="G478" s="13"/>
      <c r="I478" s="13"/>
      <c r="J478" s="17"/>
      <c r="K478" s="20"/>
      <c r="M478" s="13"/>
      <c r="N478" s="22"/>
      <c r="O478" s="13"/>
      <c r="R478" s="13"/>
      <c r="S478" s="22"/>
      <c r="U478" s="23"/>
      <c r="V478" s="5"/>
      <c r="W478" s="5"/>
      <c r="X478" s="5"/>
      <c r="Y478" s="6"/>
      <c r="Z478" s="5"/>
    </row>
    <row r="479">
      <c r="E479" s="21"/>
      <c r="G479" s="13"/>
      <c r="I479" s="13"/>
      <c r="J479" s="17"/>
      <c r="K479" s="20"/>
      <c r="M479" s="13"/>
      <c r="N479" s="22"/>
      <c r="O479" s="13"/>
      <c r="R479" s="13"/>
      <c r="S479" s="22"/>
      <c r="U479" s="23"/>
      <c r="V479" s="5"/>
      <c r="W479" s="5"/>
      <c r="X479" s="5"/>
      <c r="Y479" s="6"/>
      <c r="Z479" s="5"/>
    </row>
    <row r="480">
      <c r="E480" s="21"/>
      <c r="G480" s="13"/>
      <c r="I480" s="13"/>
      <c r="J480" s="17"/>
      <c r="K480" s="20"/>
      <c r="M480" s="13"/>
      <c r="N480" s="22"/>
      <c r="O480" s="13"/>
      <c r="R480" s="13"/>
      <c r="S480" s="22"/>
      <c r="U480" s="23"/>
      <c r="V480" s="5"/>
      <c r="W480" s="5"/>
      <c r="X480" s="5"/>
      <c r="Y480" s="6"/>
      <c r="Z480" s="5"/>
    </row>
    <row r="481">
      <c r="E481" s="21"/>
      <c r="G481" s="13"/>
      <c r="I481" s="13"/>
      <c r="J481" s="17"/>
      <c r="K481" s="20"/>
      <c r="M481" s="13"/>
      <c r="N481" s="22"/>
      <c r="O481" s="13"/>
      <c r="R481" s="13"/>
      <c r="S481" s="22"/>
      <c r="U481" s="23"/>
      <c r="V481" s="5"/>
      <c r="W481" s="5"/>
      <c r="X481" s="5"/>
      <c r="Y481" s="6"/>
      <c r="Z481" s="5"/>
    </row>
    <row r="482">
      <c r="E482" s="21"/>
      <c r="G482" s="13"/>
      <c r="I482" s="13"/>
      <c r="J482" s="17"/>
      <c r="K482" s="20"/>
      <c r="M482" s="13"/>
      <c r="N482" s="22"/>
      <c r="O482" s="13"/>
      <c r="R482" s="13"/>
      <c r="S482" s="22"/>
      <c r="U482" s="23"/>
      <c r="V482" s="5"/>
      <c r="W482" s="5"/>
      <c r="X482" s="5"/>
      <c r="Y482" s="6"/>
      <c r="Z482" s="5"/>
    </row>
    <row r="483">
      <c r="E483" s="21"/>
      <c r="G483" s="13"/>
      <c r="I483" s="13"/>
      <c r="J483" s="17"/>
      <c r="K483" s="20"/>
      <c r="M483" s="13"/>
      <c r="N483" s="22"/>
      <c r="O483" s="13"/>
      <c r="R483" s="13"/>
      <c r="S483" s="22"/>
      <c r="U483" s="23"/>
      <c r="V483" s="5"/>
      <c r="W483" s="5"/>
      <c r="X483" s="5"/>
      <c r="Y483" s="6"/>
      <c r="Z483" s="5"/>
    </row>
    <row r="484">
      <c r="E484" s="21"/>
      <c r="G484" s="13"/>
      <c r="I484" s="13"/>
      <c r="J484" s="17"/>
      <c r="K484" s="20"/>
      <c r="M484" s="13"/>
      <c r="N484" s="22"/>
      <c r="O484" s="13"/>
      <c r="R484" s="13"/>
      <c r="S484" s="22"/>
      <c r="U484" s="23"/>
      <c r="V484" s="5"/>
      <c r="W484" s="5"/>
      <c r="X484" s="5"/>
      <c r="Y484" s="6"/>
      <c r="Z484" s="5"/>
    </row>
    <row r="485">
      <c r="E485" s="21"/>
      <c r="G485" s="13"/>
      <c r="I485" s="13"/>
      <c r="J485" s="17"/>
      <c r="K485" s="20"/>
      <c r="M485" s="13"/>
      <c r="N485" s="22"/>
      <c r="O485" s="13"/>
      <c r="R485" s="13"/>
      <c r="S485" s="22"/>
      <c r="U485" s="23"/>
      <c r="V485" s="5"/>
      <c r="W485" s="5"/>
      <c r="X485" s="5"/>
      <c r="Y485" s="6"/>
      <c r="Z485" s="5"/>
    </row>
    <row r="486">
      <c r="E486" s="21"/>
      <c r="G486" s="13"/>
      <c r="I486" s="13"/>
      <c r="J486" s="17"/>
      <c r="K486" s="20"/>
      <c r="M486" s="13"/>
      <c r="N486" s="22"/>
      <c r="O486" s="13"/>
      <c r="R486" s="13"/>
      <c r="S486" s="22"/>
      <c r="U486" s="23"/>
      <c r="V486" s="5"/>
      <c r="W486" s="5"/>
      <c r="X486" s="5"/>
      <c r="Y486" s="6"/>
      <c r="Z486" s="5"/>
    </row>
    <row r="487">
      <c r="E487" s="21"/>
      <c r="G487" s="13"/>
      <c r="I487" s="13"/>
      <c r="J487" s="17"/>
      <c r="K487" s="20"/>
      <c r="M487" s="13"/>
      <c r="N487" s="22"/>
      <c r="O487" s="13"/>
      <c r="R487" s="13"/>
      <c r="S487" s="22"/>
      <c r="U487" s="23"/>
      <c r="V487" s="5"/>
      <c r="W487" s="5"/>
      <c r="X487" s="5"/>
      <c r="Y487" s="6"/>
      <c r="Z487" s="5"/>
    </row>
    <row r="488">
      <c r="E488" s="21"/>
      <c r="G488" s="13"/>
      <c r="I488" s="13"/>
      <c r="J488" s="17"/>
      <c r="K488" s="20"/>
      <c r="M488" s="13"/>
      <c r="N488" s="22"/>
      <c r="O488" s="13"/>
      <c r="R488" s="13"/>
      <c r="S488" s="22"/>
      <c r="U488" s="23"/>
      <c r="V488" s="5"/>
      <c r="W488" s="5"/>
      <c r="X488" s="5"/>
      <c r="Y488" s="6"/>
      <c r="Z488" s="5"/>
    </row>
    <row r="489">
      <c r="E489" s="21"/>
      <c r="G489" s="13"/>
      <c r="I489" s="13"/>
      <c r="J489" s="17"/>
      <c r="K489" s="20"/>
      <c r="M489" s="13"/>
      <c r="N489" s="22"/>
      <c r="O489" s="13"/>
      <c r="R489" s="13"/>
      <c r="S489" s="22"/>
      <c r="U489" s="23"/>
      <c r="V489" s="5"/>
      <c r="W489" s="5"/>
      <c r="X489" s="5"/>
      <c r="Y489" s="6"/>
      <c r="Z489" s="5"/>
    </row>
    <row r="490">
      <c r="E490" s="21"/>
      <c r="G490" s="13"/>
      <c r="I490" s="13"/>
      <c r="J490" s="17"/>
      <c r="K490" s="20"/>
      <c r="M490" s="13"/>
      <c r="N490" s="22"/>
      <c r="O490" s="13"/>
      <c r="R490" s="13"/>
      <c r="S490" s="22"/>
      <c r="U490" s="23"/>
      <c r="V490" s="5"/>
      <c r="W490" s="5"/>
      <c r="X490" s="5"/>
      <c r="Y490" s="6"/>
      <c r="Z490" s="5"/>
    </row>
    <row r="491">
      <c r="E491" s="21"/>
      <c r="G491" s="13"/>
      <c r="I491" s="13"/>
      <c r="J491" s="17"/>
      <c r="K491" s="20"/>
      <c r="M491" s="13"/>
      <c r="N491" s="22"/>
      <c r="O491" s="13"/>
      <c r="R491" s="13"/>
      <c r="S491" s="22"/>
      <c r="U491" s="23"/>
      <c r="V491" s="5"/>
      <c r="W491" s="5"/>
      <c r="X491" s="5"/>
      <c r="Y491" s="6"/>
      <c r="Z491" s="5"/>
    </row>
    <row r="492">
      <c r="E492" s="21"/>
      <c r="G492" s="13"/>
      <c r="I492" s="13"/>
      <c r="J492" s="17"/>
      <c r="K492" s="20"/>
      <c r="M492" s="13"/>
      <c r="N492" s="22"/>
      <c r="O492" s="13"/>
      <c r="R492" s="13"/>
      <c r="S492" s="22"/>
      <c r="U492" s="23"/>
      <c r="V492" s="5"/>
      <c r="W492" s="5"/>
      <c r="X492" s="5"/>
      <c r="Y492" s="6"/>
      <c r="Z492" s="5"/>
    </row>
    <row r="493">
      <c r="E493" s="21"/>
      <c r="G493" s="13"/>
      <c r="I493" s="13"/>
      <c r="J493" s="17"/>
      <c r="K493" s="20"/>
      <c r="M493" s="13"/>
      <c r="N493" s="22"/>
      <c r="O493" s="13"/>
      <c r="R493" s="13"/>
      <c r="S493" s="22"/>
      <c r="U493" s="23"/>
      <c r="V493" s="5"/>
      <c r="W493" s="5"/>
      <c r="X493" s="5"/>
      <c r="Y493" s="6"/>
      <c r="Z493" s="5"/>
    </row>
    <row r="494">
      <c r="E494" s="21"/>
      <c r="G494" s="13"/>
      <c r="I494" s="13"/>
      <c r="J494" s="17"/>
      <c r="K494" s="20"/>
      <c r="M494" s="13"/>
      <c r="N494" s="22"/>
      <c r="O494" s="13"/>
      <c r="R494" s="13"/>
      <c r="S494" s="22"/>
      <c r="U494" s="23"/>
      <c r="V494" s="5"/>
      <c r="W494" s="5"/>
      <c r="X494" s="5"/>
      <c r="Y494" s="6"/>
      <c r="Z494" s="5"/>
    </row>
    <row r="495">
      <c r="E495" s="21"/>
      <c r="G495" s="13"/>
      <c r="I495" s="13"/>
      <c r="J495" s="17"/>
      <c r="K495" s="20"/>
      <c r="M495" s="13"/>
      <c r="N495" s="22"/>
      <c r="O495" s="13"/>
      <c r="R495" s="13"/>
      <c r="S495" s="22"/>
      <c r="U495" s="23"/>
      <c r="V495" s="5"/>
      <c r="W495" s="5"/>
      <c r="X495" s="5"/>
      <c r="Y495" s="6"/>
      <c r="Z495" s="5"/>
    </row>
    <row r="496">
      <c r="E496" s="21"/>
      <c r="G496" s="13"/>
      <c r="I496" s="13"/>
      <c r="J496" s="17"/>
      <c r="K496" s="20"/>
      <c r="M496" s="13"/>
      <c r="N496" s="22"/>
      <c r="O496" s="13"/>
      <c r="R496" s="13"/>
      <c r="S496" s="22"/>
      <c r="U496" s="23"/>
      <c r="V496" s="5"/>
      <c r="W496" s="5"/>
      <c r="X496" s="5"/>
      <c r="Y496" s="6"/>
      <c r="Z496" s="5"/>
    </row>
    <row r="497">
      <c r="E497" s="21"/>
      <c r="G497" s="13"/>
      <c r="I497" s="13"/>
      <c r="J497" s="17"/>
      <c r="K497" s="20"/>
      <c r="M497" s="13"/>
      <c r="N497" s="22"/>
      <c r="O497" s="13"/>
      <c r="R497" s="13"/>
      <c r="S497" s="22"/>
      <c r="U497" s="23"/>
      <c r="V497" s="5"/>
      <c r="W497" s="5"/>
      <c r="X497" s="5"/>
      <c r="Y497" s="6"/>
      <c r="Z497" s="5"/>
    </row>
    <row r="498">
      <c r="E498" s="21"/>
      <c r="G498" s="13"/>
      <c r="I498" s="13"/>
      <c r="J498" s="17"/>
      <c r="K498" s="20"/>
      <c r="M498" s="13"/>
      <c r="N498" s="22"/>
      <c r="O498" s="13"/>
      <c r="R498" s="13"/>
      <c r="S498" s="22"/>
      <c r="U498" s="23"/>
      <c r="V498" s="5"/>
      <c r="W498" s="5"/>
      <c r="X498" s="5"/>
      <c r="Y498" s="6"/>
      <c r="Z498" s="5"/>
    </row>
    <row r="499">
      <c r="E499" s="21"/>
      <c r="G499" s="13"/>
      <c r="I499" s="13"/>
      <c r="J499" s="17"/>
      <c r="K499" s="20"/>
      <c r="M499" s="13"/>
      <c r="N499" s="22"/>
      <c r="O499" s="13"/>
      <c r="R499" s="13"/>
      <c r="S499" s="22"/>
      <c r="U499" s="23"/>
      <c r="V499" s="5"/>
      <c r="W499" s="5"/>
      <c r="X499" s="5"/>
      <c r="Y499" s="6"/>
      <c r="Z499" s="5"/>
    </row>
    <row r="500">
      <c r="E500" s="21"/>
      <c r="G500" s="13"/>
      <c r="I500" s="13"/>
      <c r="J500" s="17"/>
      <c r="K500" s="20"/>
      <c r="M500" s="13"/>
      <c r="N500" s="22"/>
      <c r="O500" s="13"/>
      <c r="R500" s="13"/>
      <c r="S500" s="22"/>
      <c r="U500" s="23"/>
      <c r="V500" s="5"/>
      <c r="W500" s="5"/>
      <c r="X500" s="5"/>
      <c r="Y500" s="6"/>
      <c r="Z500" s="5"/>
    </row>
    <row r="501">
      <c r="E501" s="21"/>
      <c r="G501" s="13"/>
      <c r="I501" s="13"/>
      <c r="J501" s="17"/>
      <c r="K501" s="20"/>
      <c r="M501" s="13"/>
      <c r="N501" s="22"/>
      <c r="O501" s="13"/>
      <c r="R501" s="13"/>
      <c r="S501" s="22"/>
      <c r="U501" s="23"/>
      <c r="V501" s="5"/>
      <c r="W501" s="5"/>
      <c r="X501" s="5"/>
      <c r="Y501" s="6"/>
      <c r="Z501" s="5"/>
    </row>
    <row r="502">
      <c r="E502" s="21"/>
      <c r="G502" s="13"/>
      <c r="I502" s="13"/>
      <c r="J502" s="17"/>
      <c r="K502" s="20"/>
      <c r="M502" s="13"/>
      <c r="N502" s="22"/>
      <c r="O502" s="13"/>
      <c r="R502" s="13"/>
      <c r="S502" s="22"/>
      <c r="U502" s="23"/>
      <c r="V502" s="5"/>
      <c r="W502" s="5"/>
      <c r="X502" s="5"/>
      <c r="Y502" s="6"/>
      <c r="Z502" s="5"/>
    </row>
    <row r="503">
      <c r="E503" s="21"/>
      <c r="G503" s="13"/>
      <c r="I503" s="13"/>
      <c r="J503" s="17"/>
      <c r="K503" s="20"/>
      <c r="M503" s="13"/>
      <c r="N503" s="22"/>
      <c r="O503" s="13"/>
      <c r="R503" s="13"/>
      <c r="S503" s="22"/>
      <c r="U503" s="23"/>
      <c r="V503" s="5"/>
      <c r="W503" s="5"/>
      <c r="X503" s="5"/>
      <c r="Y503" s="6"/>
      <c r="Z503" s="5"/>
    </row>
    <row r="504">
      <c r="E504" s="21"/>
      <c r="G504" s="13"/>
      <c r="I504" s="13"/>
      <c r="J504" s="17"/>
      <c r="K504" s="20"/>
      <c r="M504" s="13"/>
      <c r="N504" s="22"/>
      <c r="O504" s="13"/>
      <c r="R504" s="13"/>
      <c r="S504" s="22"/>
      <c r="U504" s="23"/>
      <c r="V504" s="5"/>
      <c r="W504" s="5"/>
      <c r="X504" s="5"/>
      <c r="Y504" s="6"/>
      <c r="Z504" s="5"/>
    </row>
    <row r="505">
      <c r="E505" s="21"/>
      <c r="G505" s="13"/>
      <c r="I505" s="13"/>
      <c r="J505" s="17"/>
      <c r="K505" s="20"/>
      <c r="M505" s="13"/>
      <c r="N505" s="22"/>
      <c r="O505" s="13"/>
      <c r="R505" s="13"/>
      <c r="S505" s="22"/>
      <c r="U505" s="23"/>
      <c r="V505" s="5"/>
      <c r="W505" s="5"/>
      <c r="X505" s="5"/>
      <c r="Y505" s="6"/>
      <c r="Z505" s="5"/>
    </row>
    <row r="506">
      <c r="E506" s="21"/>
      <c r="G506" s="13"/>
      <c r="I506" s="13"/>
      <c r="J506" s="17"/>
      <c r="K506" s="20"/>
      <c r="M506" s="13"/>
      <c r="N506" s="22"/>
      <c r="O506" s="13"/>
      <c r="R506" s="13"/>
      <c r="S506" s="22"/>
      <c r="U506" s="23"/>
      <c r="V506" s="5"/>
      <c r="W506" s="5"/>
      <c r="X506" s="5"/>
      <c r="Y506" s="6"/>
      <c r="Z506" s="5"/>
    </row>
    <row r="507">
      <c r="E507" s="21"/>
      <c r="G507" s="13"/>
      <c r="I507" s="13"/>
      <c r="J507" s="17"/>
      <c r="K507" s="20"/>
      <c r="M507" s="13"/>
      <c r="N507" s="22"/>
      <c r="O507" s="13"/>
      <c r="R507" s="13"/>
      <c r="S507" s="22"/>
      <c r="U507" s="23"/>
      <c r="V507" s="5"/>
      <c r="W507" s="5"/>
      <c r="X507" s="5"/>
      <c r="Y507" s="6"/>
      <c r="Z507" s="5"/>
    </row>
    <row r="508">
      <c r="E508" s="21"/>
      <c r="G508" s="13"/>
      <c r="I508" s="13"/>
      <c r="J508" s="17"/>
      <c r="K508" s="20"/>
      <c r="M508" s="13"/>
      <c r="N508" s="22"/>
      <c r="O508" s="13"/>
      <c r="R508" s="13"/>
      <c r="S508" s="22"/>
      <c r="U508" s="23"/>
      <c r="V508" s="5"/>
      <c r="W508" s="5"/>
      <c r="X508" s="5"/>
      <c r="Y508" s="6"/>
      <c r="Z508" s="5"/>
    </row>
    <row r="509">
      <c r="E509" s="21"/>
      <c r="G509" s="13"/>
      <c r="I509" s="13"/>
      <c r="J509" s="17"/>
      <c r="K509" s="20"/>
      <c r="M509" s="13"/>
      <c r="N509" s="22"/>
      <c r="O509" s="13"/>
      <c r="R509" s="13"/>
      <c r="S509" s="22"/>
      <c r="U509" s="23"/>
      <c r="V509" s="5"/>
      <c r="W509" s="5"/>
      <c r="X509" s="5"/>
      <c r="Y509" s="6"/>
      <c r="Z509" s="5"/>
    </row>
    <row r="510">
      <c r="E510" s="21"/>
      <c r="G510" s="13"/>
      <c r="I510" s="13"/>
      <c r="J510" s="17"/>
      <c r="K510" s="20"/>
      <c r="M510" s="13"/>
      <c r="N510" s="22"/>
      <c r="O510" s="13"/>
      <c r="R510" s="13"/>
      <c r="S510" s="22"/>
      <c r="U510" s="23"/>
      <c r="V510" s="5"/>
      <c r="W510" s="5"/>
      <c r="X510" s="5"/>
      <c r="Y510" s="6"/>
      <c r="Z510" s="5"/>
    </row>
    <row r="511">
      <c r="E511" s="21"/>
      <c r="G511" s="13"/>
      <c r="I511" s="13"/>
      <c r="J511" s="17"/>
      <c r="K511" s="20"/>
      <c r="M511" s="13"/>
      <c r="N511" s="22"/>
      <c r="O511" s="13"/>
      <c r="R511" s="13"/>
      <c r="S511" s="22"/>
      <c r="U511" s="23"/>
      <c r="V511" s="5"/>
      <c r="W511" s="5"/>
      <c r="X511" s="5"/>
      <c r="Y511" s="6"/>
      <c r="Z511" s="5"/>
    </row>
    <row r="512">
      <c r="E512" s="21"/>
      <c r="G512" s="13"/>
      <c r="I512" s="13"/>
      <c r="J512" s="17"/>
      <c r="K512" s="20"/>
      <c r="M512" s="13"/>
      <c r="N512" s="22"/>
      <c r="O512" s="13"/>
      <c r="R512" s="13"/>
      <c r="S512" s="22"/>
      <c r="U512" s="23"/>
      <c r="V512" s="5"/>
      <c r="W512" s="5"/>
      <c r="X512" s="5"/>
      <c r="Y512" s="6"/>
      <c r="Z512" s="5"/>
    </row>
    <row r="513">
      <c r="E513" s="21"/>
      <c r="G513" s="13"/>
      <c r="I513" s="13"/>
      <c r="J513" s="17"/>
      <c r="K513" s="20"/>
      <c r="M513" s="13"/>
      <c r="N513" s="22"/>
      <c r="O513" s="13"/>
      <c r="R513" s="13"/>
      <c r="S513" s="22"/>
      <c r="U513" s="23"/>
      <c r="V513" s="5"/>
      <c r="W513" s="5"/>
      <c r="X513" s="5"/>
      <c r="Y513" s="6"/>
      <c r="Z513" s="5"/>
    </row>
    <row r="514">
      <c r="E514" s="21"/>
      <c r="G514" s="13"/>
      <c r="I514" s="13"/>
      <c r="J514" s="17"/>
      <c r="K514" s="20"/>
      <c r="M514" s="13"/>
      <c r="N514" s="22"/>
      <c r="O514" s="13"/>
      <c r="R514" s="13"/>
      <c r="S514" s="22"/>
      <c r="U514" s="23"/>
      <c r="V514" s="5"/>
      <c r="W514" s="5"/>
      <c r="X514" s="5"/>
      <c r="Y514" s="6"/>
      <c r="Z514" s="5"/>
    </row>
    <row r="515">
      <c r="E515" s="21"/>
      <c r="G515" s="13"/>
      <c r="I515" s="13"/>
      <c r="J515" s="17"/>
      <c r="K515" s="20"/>
      <c r="M515" s="13"/>
      <c r="N515" s="22"/>
      <c r="O515" s="13"/>
      <c r="R515" s="13"/>
      <c r="S515" s="22"/>
      <c r="U515" s="23"/>
      <c r="V515" s="5"/>
      <c r="W515" s="5"/>
      <c r="X515" s="5"/>
      <c r="Y515" s="6"/>
      <c r="Z515" s="5"/>
    </row>
    <row r="516">
      <c r="E516" s="21"/>
      <c r="G516" s="13"/>
      <c r="I516" s="13"/>
      <c r="J516" s="17"/>
      <c r="K516" s="20"/>
      <c r="M516" s="13"/>
      <c r="N516" s="22"/>
      <c r="O516" s="13"/>
      <c r="R516" s="13"/>
      <c r="S516" s="22"/>
      <c r="U516" s="23"/>
      <c r="V516" s="5"/>
      <c r="W516" s="5"/>
      <c r="X516" s="5"/>
      <c r="Y516" s="6"/>
      <c r="Z516" s="5"/>
    </row>
    <row r="517">
      <c r="E517" s="21"/>
      <c r="G517" s="13"/>
      <c r="I517" s="13"/>
      <c r="J517" s="17"/>
      <c r="K517" s="20"/>
      <c r="M517" s="13"/>
      <c r="N517" s="22"/>
      <c r="O517" s="13"/>
      <c r="R517" s="13"/>
      <c r="S517" s="22"/>
      <c r="U517" s="23"/>
      <c r="V517" s="5"/>
      <c r="W517" s="5"/>
      <c r="X517" s="5"/>
      <c r="Y517" s="6"/>
      <c r="Z517" s="5"/>
    </row>
    <row r="518">
      <c r="E518" s="21"/>
      <c r="G518" s="13"/>
      <c r="I518" s="13"/>
      <c r="J518" s="17"/>
      <c r="K518" s="20"/>
      <c r="M518" s="13"/>
      <c r="N518" s="22"/>
      <c r="O518" s="13"/>
      <c r="R518" s="13"/>
      <c r="S518" s="22"/>
      <c r="U518" s="23"/>
      <c r="V518" s="5"/>
      <c r="W518" s="5"/>
      <c r="X518" s="5"/>
      <c r="Y518" s="6"/>
      <c r="Z518" s="5"/>
    </row>
    <row r="519">
      <c r="E519" s="21"/>
      <c r="G519" s="13"/>
      <c r="I519" s="13"/>
      <c r="J519" s="17"/>
      <c r="K519" s="20"/>
      <c r="M519" s="13"/>
      <c r="N519" s="22"/>
      <c r="O519" s="13"/>
      <c r="R519" s="13"/>
      <c r="S519" s="22"/>
      <c r="U519" s="23"/>
      <c r="V519" s="5"/>
      <c r="W519" s="5"/>
      <c r="X519" s="5"/>
      <c r="Y519" s="6"/>
      <c r="Z519" s="5"/>
    </row>
    <row r="520">
      <c r="E520" s="21"/>
      <c r="G520" s="13"/>
      <c r="I520" s="13"/>
      <c r="J520" s="17"/>
      <c r="K520" s="20"/>
      <c r="M520" s="13"/>
      <c r="N520" s="22"/>
      <c r="O520" s="13"/>
      <c r="R520" s="13"/>
      <c r="S520" s="22"/>
      <c r="U520" s="23"/>
      <c r="V520" s="5"/>
      <c r="W520" s="5"/>
      <c r="X520" s="5"/>
      <c r="Y520" s="6"/>
      <c r="Z520" s="5"/>
    </row>
    <row r="521">
      <c r="E521" s="21"/>
      <c r="G521" s="13"/>
      <c r="I521" s="13"/>
      <c r="J521" s="17"/>
      <c r="K521" s="20"/>
      <c r="M521" s="13"/>
      <c r="N521" s="22"/>
      <c r="O521" s="13"/>
      <c r="R521" s="13"/>
      <c r="S521" s="22"/>
      <c r="U521" s="23"/>
      <c r="V521" s="5"/>
      <c r="W521" s="5"/>
      <c r="X521" s="5"/>
      <c r="Y521" s="6"/>
      <c r="Z521" s="5"/>
    </row>
    <row r="522">
      <c r="E522" s="21"/>
      <c r="G522" s="13"/>
      <c r="I522" s="13"/>
      <c r="J522" s="17"/>
      <c r="K522" s="20"/>
      <c r="M522" s="13"/>
      <c r="N522" s="22"/>
      <c r="O522" s="13"/>
      <c r="R522" s="13"/>
      <c r="S522" s="22"/>
      <c r="U522" s="23"/>
      <c r="V522" s="5"/>
      <c r="W522" s="5"/>
      <c r="X522" s="5"/>
      <c r="Y522" s="6"/>
      <c r="Z522" s="5"/>
    </row>
    <row r="523">
      <c r="E523" s="21"/>
      <c r="G523" s="13"/>
      <c r="I523" s="13"/>
      <c r="J523" s="17"/>
      <c r="K523" s="20"/>
      <c r="M523" s="13"/>
      <c r="N523" s="22"/>
      <c r="O523" s="13"/>
      <c r="R523" s="13"/>
      <c r="S523" s="22"/>
      <c r="U523" s="23"/>
      <c r="V523" s="5"/>
      <c r="W523" s="5"/>
      <c r="X523" s="5"/>
      <c r="Y523" s="6"/>
      <c r="Z523" s="5"/>
    </row>
    <row r="524">
      <c r="E524" s="21"/>
      <c r="G524" s="13"/>
      <c r="I524" s="13"/>
      <c r="J524" s="17"/>
      <c r="K524" s="20"/>
      <c r="M524" s="13"/>
      <c r="N524" s="22"/>
      <c r="O524" s="13"/>
      <c r="R524" s="13"/>
      <c r="S524" s="22"/>
      <c r="U524" s="23"/>
      <c r="V524" s="5"/>
      <c r="W524" s="5"/>
      <c r="X524" s="5"/>
      <c r="Y524" s="6"/>
      <c r="Z524" s="5"/>
    </row>
    <row r="525">
      <c r="E525" s="21"/>
      <c r="G525" s="13"/>
      <c r="I525" s="13"/>
      <c r="J525" s="17"/>
      <c r="K525" s="20"/>
      <c r="M525" s="13"/>
      <c r="N525" s="22"/>
      <c r="O525" s="13"/>
      <c r="R525" s="13"/>
      <c r="S525" s="22"/>
      <c r="U525" s="23"/>
      <c r="V525" s="5"/>
      <c r="W525" s="5"/>
      <c r="X525" s="5"/>
      <c r="Y525" s="6"/>
      <c r="Z525" s="5"/>
    </row>
    <row r="526">
      <c r="E526" s="21"/>
      <c r="G526" s="13"/>
      <c r="I526" s="13"/>
      <c r="J526" s="17"/>
      <c r="K526" s="20"/>
      <c r="M526" s="13"/>
      <c r="N526" s="22"/>
      <c r="O526" s="13"/>
      <c r="R526" s="13"/>
      <c r="S526" s="22"/>
      <c r="U526" s="23"/>
      <c r="V526" s="5"/>
      <c r="W526" s="5"/>
      <c r="X526" s="5"/>
      <c r="Y526" s="6"/>
      <c r="Z526" s="5"/>
    </row>
    <row r="527">
      <c r="E527" s="21"/>
      <c r="G527" s="13"/>
      <c r="I527" s="13"/>
      <c r="J527" s="17"/>
      <c r="K527" s="20"/>
      <c r="M527" s="13"/>
      <c r="N527" s="22"/>
      <c r="O527" s="13"/>
      <c r="R527" s="13"/>
      <c r="S527" s="22"/>
      <c r="U527" s="23"/>
      <c r="V527" s="5"/>
      <c r="W527" s="5"/>
      <c r="X527" s="5"/>
      <c r="Y527" s="6"/>
      <c r="Z527" s="5"/>
    </row>
    <row r="528">
      <c r="E528" s="21"/>
      <c r="G528" s="13"/>
      <c r="I528" s="13"/>
      <c r="J528" s="17"/>
      <c r="K528" s="20"/>
      <c r="M528" s="13"/>
      <c r="N528" s="22"/>
      <c r="O528" s="13"/>
      <c r="R528" s="13"/>
      <c r="S528" s="22"/>
      <c r="U528" s="23"/>
      <c r="V528" s="5"/>
      <c r="W528" s="5"/>
      <c r="X528" s="5"/>
      <c r="Y528" s="6"/>
      <c r="Z528" s="5"/>
    </row>
    <row r="529">
      <c r="E529" s="21"/>
      <c r="G529" s="13"/>
      <c r="I529" s="13"/>
      <c r="J529" s="17"/>
      <c r="K529" s="20"/>
      <c r="M529" s="13"/>
      <c r="N529" s="22"/>
      <c r="O529" s="13"/>
      <c r="R529" s="13"/>
      <c r="S529" s="22"/>
      <c r="U529" s="23"/>
      <c r="V529" s="5"/>
      <c r="W529" s="5"/>
      <c r="X529" s="5"/>
      <c r="Y529" s="6"/>
      <c r="Z529" s="5"/>
    </row>
    <row r="530">
      <c r="E530" s="21"/>
      <c r="G530" s="13"/>
      <c r="I530" s="13"/>
      <c r="J530" s="17"/>
      <c r="K530" s="20"/>
      <c r="M530" s="13"/>
      <c r="N530" s="22"/>
      <c r="O530" s="13"/>
      <c r="R530" s="13"/>
      <c r="S530" s="22"/>
      <c r="U530" s="23"/>
      <c r="V530" s="5"/>
      <c r="W530" s="5"/>
      <c r="X530" s="5"/>
      <c r="Y530" s="6"/>
      <c r="Z530" s="5"/>
    </row>
    <row r="531">
      <c r="E531" s="21"/>
      <c r="G531" s="13"/>
      <c r="I531" s="13"/>
      <c r="J531" s="17"/>
      <c r="K531" s="20"/>
      <c r="M531" s="13"/>
      <c r="N531" s="22"/>
      <c r="O531" s="13"/>
      <c r="R531" s="13"/>
      <c r="S531" s="22"/>
      <c r="U531" s="23"/>
      <c r="V531" s="5"/>
      <c r="W531" s="5"/>
      <c r="X531" s="5"/>
      <c r="Y531" s="6"/>
      <c r="Z531" s="5"/>
    </row>
    <row r="532">
      <c r="E532" s="21"/>
      <c r="G532" s="13"/>
      <c r="I532" s="13"/>
      <c r="J532" s="17"/>
      <c r="K532" s="20"/>
      <c r="M532" s="13"/>
      <c r="N532" s="22"/>
      <c r="O532" s="13"/>
      <c r="R532" s="13"/>
      <c r="S532" s="22"/>
      <c r="U532" s="23"/>
      <c r="V532" s="5"/>
      <c r="W532" s="5"/>
      <c r="X532" s="5"/>
      <c r="Y532" s="6"/>
      <c r="Z532" s="5"/>
    </row>
    <row r="533">
      <c r="E533" s="21"/>
      <c r="G533" s="13"/>
      <c r="I533" s="13"/>
      <c r="J533" s="17"/>
      <c r="K533" s="20"/>
      <c r="M533" s="13"/>
      <c r="N533" s="22"/>
      <c r="O533" s="13"/>
      <c r="R533" s="13"/>
      <c r="S533" s="22"/>
      <c r="U533" s="23"/>
      <c r="V533" s="5"/>
      <c r="W533" s="5"/>
      <c r="X533" s="5"/>
      <c r="Y533" s="6"/>
      <c r="Z533" s="5"/>
    </row>
    <row r="534">
      <c r="E534" s="21"/>
      <c r="G534" s="13"/>
      <c r="I534" s="13"/>
      <c r="J534" s="17"/>
      <c r="K534" s="20"/>
      <c r="M534" s="13"/>
      <c r="N534" s="22"/>
      <c r="O534" s="13"/>
      <c r="R534" s="13"/>
      <c r="S534" s="22"/>
      <c r="U534" s="23"/>
      <c r="V534" s="5"/>
      <c r="W534" s="5"/>
      <c r="X534" s="5"/>
      <c r="Y534" s="6"/>
      <c r="Z534" s="5"/>
    </row>
    <row r="535">
      <c r="E535" s="21"/>
      <c r="G535" s="13"/>
      <c r="I535" s="13"/>
      <c r="J535" s="17"/>
      <c r="K535" s="20"/>
      <c r="M535" s="13"/>
      <c r="N535" s="22"/>
      <c r="O535" s="13"/>
      <c r="R535" s="13"/>
      <c r="S535" s="22"/>
      <c r="U535" s="23"/>
      <c r="V535" s="5"/>
      <c r="W535" s="5"/>
      <c r="X535" s="5"/>
      <c r="Y535" s="6"/>
      <c r="Z535" s="5"/>
    </row>
    <row r="536">
      <c r="E536" s="21"/>
      <c r="G536" s="13"/>
      <c r="I536" s="13"/>
      <c r="J536" s="17"/>
      <c r="K536" s="20"/>
      <c r="M536" s="13"/>
      <c r="N536" s="22"/>
      <c r="O536" s="13"/>
      <c r="R536" s="13"/>
      <c r="S536" s="22"/>
      <c r="U536" s="23"/>
      <c r="V536" s="5"/>
      <c r="W536" s="5"/>
      <c r="X536" s="5"/>
      <c r="Y536" s="6"/>
      <c r="Z536" s="5"/>
    </row>
    <row r="537">
      <c r="E537" s="21"/>
      <c r="G537" s="13"/>
      <c r="I537" s="13"/>
      <c r="J537" s="17"/>
      <c r="K537" s="20"/>
      <c r="M537" s="13"/>
      <c r="N537" s="22"/>
      <c r="O537" s="13"/>
      <c r="R537" s="13"/>
      <c r="S537" s="22"/>
      <c r="U537" s="23"/>
      <c r="V537" s="5"/>
      <c r="W537" s="5"/>
      <c r="X537" s="5"/>
      <c r="Y537" s="6"/>
      <c r="Z537" s="5"/>
    </row>
    <row r="538">
      <c r="E538" s="21"/>
      <c r="G538" s="13"/>
      <c r="I538" s="13"/>
      <c r="J538" s="17"/>
      <c r="K538" s="20"/>
      <c r="M538" s="13"/>
      <c r="N538" s="22"/>
      <c r="O538" s="13"/>
      <c r="R538" s="13"/>
      <c r="S538" s="22"/>
      <c r="U538" s="23"/>
      <c r="V538" s="5"/>
      <c r="W538" s="5"/>
      <c r="X538" s="5"/>
      <c r="Y538" s="6"/>
      <c r="Z538" s="5"/>
    </row>
    <row r="539">
      <c r="E539" s="21"/>
      <c r="G539" s="13"/>
      <c r="I539" s="13"/>
      <c r="J539" s="17"/>
      <c r="K539" s="20"/>
      <c r="M539" s="13"/>
      <c r="N539" s="22"/>
      <c r="O539" s="13"/>
      <c r="R539" s="13"/>
      <c r="S539" s="22"/>
      <c r="U539" s="23"/>
      <c r="V539" s="5"/>
      <c r="W539" s="5"/>
      <c r="X539" s="5"/>
      <c r="Y539" s="6"/>
      <c r="Z539" s="5"/>
    </row>
    <row r="540">
      <c r="E540" s="21"/>
      <c r="G540" s="13"/>
      <c r="I540" s="13"/>
      <c r="J540" s="17"/>
      <c r="K540" s="20"/>
      <c r="M540" s="13"/>
      <c r="N540" s="22"/>
      <c r="O540" s="13"/>
      <c r="R540" s="13"/>
      <c r="S540" s="22"/>
      <c r="U540" s="23"/>
      <c r="V540" s="5"/>
      <c r="W540" s="5"/>
      <c r="X540" s="5"/>
      <c r="Y540" s="6"/>
      <c r="Z540" s="5"/>
    </row>
    <row r="541">
      <c r="E541" s="21"/>
      <c r="G541" s="13"/>
      <c r="I541" s="13"/>
      <c r="J541" s="17"/>
      <c r="K541" s="20"/>
      <c r="M541" s="13"/>
      <c r="N541" s="22"/>
      <c r="O541" s="13"/>
      <c r="R541" s="13"/>
      <c r="S541" s="22"/>
      <c r="U541" s="23"/>
      <c r="V541" s="5"/>
      <c r="W541" s="5"/>
      <c r="X541" s="5"/>
      <c r="Y541" s="6"/>
      <c r="Z541" s="5"/>
    </row>
    <row r="542">
      <c r="E542" s="21"/>
      <c r="G542" s="13"/>
      <c r="I542" s="13"/>
      <c r="J542" s="17"/>
      <c r="K542" s="20"/>
      <c r="M542" s="13"/>
      <c r="N542" s="22"/>
      <c r="O542" s="13"/>
      <c r="R542" s="13"/>
      <c r="S542" s="22"/>
      <c r="U542" s="23"/>
      <c r="V542" s="5"/>
      <c r="W542" s="5"/>
      <c r="X542" s="5"/>
      <c r="Y542" s="6"/>
      <c r="Z542" s="5"/>
    </row>
    <row r="543">
      <c r="E543" s="21"/>
      <c r="G543" s="13"/>
      <c r="I543" s="13"/>
      <c r="J543" s="17"/>
      <c r="K543" s="20"/>
      <c r="M543" s="13"/>
      <c r="N543" s="22"/>
      <c r="O543" s="13"/>
      <c r="R543" s="13"/>
      <c r="S543" s="22"/>
      <c r="U543" s="23"/>
      <c r="V543" s="5"/>
      <c r="W543" s="5"/>
      <c r="X543" s="5"/>
      <c r="Y543" s="6"/>
      <c r="Z543" s="5"/>
    </row>
    <row r="544">
      <c r="E544" s="21"/>
      <c r="G544" s="13"/>
      <c r="I544" s="13"/>
      <c r="J544" s="17"/>
      <c r="K544" s="20"/>
      <c r="M544" s="13"/>
      <c r="N544" s="22"/>
      <c r="O544" s="13"/>
      <c r="R544" s="13"/>
      <c r="S544" s="22"/>
      <c r="U544" s="23"/>
      <c r="V544" s="5"/>
      <c r="W544" s="5"/>
      <c r="X544" s="5"/>
      <c r="Y544" s="6"/>
      <c r="Z544" s="5"/>
    </row>
    <row r="545">
      <c r="E545" s="21"/>
      <c r="G545" s="13"/>
      <c r="I545" s="13"/>
      <c r="J545" s="17"/>
      <c r="K545" s="20"/>
      <c r="M545" s="13"/>
      <c r="N545" s="22"/>
      <c r="O545" s="13"/>
      <c r="R545" s="13"/>
      <c r="S545" s="22"/>
      <c r="U545" s="23"/>
      <c r="V545" s="5"/>
      <c r="W545" s="5"/>
      <c r="X545" s="5"/>
      <c r="Y545" s="6"/>
      <c r="Z545" s="5"/>
    </row>
    <row r="546">
      <c r="E546" s="21"/>
      <c r="G546" s="13"/>
      <c r="I546" s="13"/>
      <c r="J546" s="17"/>
      <c r="K546" s="20"/>
      <c r="M546" s="13"/>
      <c r="N546" s="22"/>
      <c r="O546" s="13"/>
      <c r="R546" s="13"/>
      <c r="S546" s="22"/>
      <c r="U546" s="23"/>
      <c r="V546" s="5"/>
      <c r="W546" s="5"/>
      <c r="X546" s="5"/>
      <c r="Y546" s="6"/>
      <c r="Z546" s="5"/>
    </row>
    <row r="547">
      <c r="E547" s="21"/>
      <c r="G547" s="13"/>
      <c r="I547" s="13"/>
      <c r="J547" s="17"/>
      <c r="K547" s="20"/>
      <c r="M547" s="13"/>
      <c r="N547" s="22"/>
      <c r="O547" s="13"/>
      <c r="R547" s="13"/>
      <c r="S547" s="22"/>
      <c r="U547" s="23"/>
      <c r="V547" s="5"/>
      <c r="W547" s="5"/>
      <c r="X547" s="5"/>
      <c r="Y547" s="6"/>
      <c r="Z547" s="5"/>
    </row>
    <row r="548">
      <c r="E548" s="21"/>
      <c r="G548" s="13"/>
      <c r="I548" s="13"/>
      <c r="J548" s="17"/>
      <c r="K548" s="20"/>
      <c r="M548" s="13"/>
      <c r="N548" s="22"/>
      <c r="O548" s="13"/>
      <c r="R548" s="13"/>
      <c r="S548" s="22"/>
      <c r="U548" s="23"/>
      <c r="V548" s="5"/>
      <c r="W548" s="5"/>
      <c r="X548" s="5"/>
      <c r="Y548" s="6"/>
      <c r="Z548" s="5"/>
    </row>
    <row r="549">
      <c r="E549" s="21"/>
      <c r="G549" s="13"/>
      <c r="I549" s="13"/>
      <c r="J549" s="17"/>
      <c r="K549" s="20"/>
      <c r="M549" s="13"/>
      <c r="N549" s="22"/>
      <c r="O549" s="13"/>
      <c r="R549" s="13"/>
      <c r="S549" s="22"/>
      <c r="U549" s="23"/>
      <c r="V549" s="5"/>
      <c r="W549" s="5"/>
      <c r="X549" s="5"/>
      <c r="Y549" s="6"/>
      <c r="Z549" s="5"/>
    </row>
    <row r="550">
      <c r="E550" s="21"/>
      <c r="G550" s="13"/>
      <c r="I550" s="13"/>
      <c r="J550" s="17"/>
      <c r="K550" s="20"/>
      <c r="M550" s="13"/>
      <c r="N550" s="22"/>
      <c r="O550" s="13"/>
      <c r="R550" s="13"/>
      <c r="S550" s="22"/>
      <c r="U550" s="23"/>
      <c r="V550" s="5"/>
      <c r="W550" s="5"/>
      <c r="X550" s="5"/>
      <c r="Y550" s="6"/>
      <c r="Z550" s="5"/>
    </row>
    <row r="551">
      <c r="E551" s="21"/>
      <c r="G551" s="13"/>
      <c r="I551" s="13"/>
      <c r="J551" s="17"/>
      <c r="K551" s="20"/>
      <c r="M551" s="13"/>
      <c r="N551" s="22"/>
      <c r="O551" s="13"/>
      <c r="R551" s="13"/>
      <c r="S551" s="22"/>
      <c r="U551" s="23"/>
      <c r="V551" s="5"/>
      <c r="W551" s="5"/>
      <c r="X551" s="5"/>
      <c r="Y551" s="6"/>
      <c r="Z551" s="5"/>
    </row>
    <row r="552">
      <c r="E552" s="21"/>
      <c r="G552" s="13"/>
      <c r="I552" s="13"/>
      <c r="J552" s="17"/>
      <c r="K552" s="20"/>
      <c r="M552" s="13"/>
      <c r="N552" s="22"/>
      <c r="O552" s="13"/>
      <c r="R552" s="13"/>
      <c r="S552" s="22"/>
      <c r="U552" s="23"/>
      <c r="V552" s="5"/>
      <c r="W552" s="5"/>
      <c r="X552" s="5"/>
      <c r="Y552" s="6"/>
      <c r="Z552" s="5"/>
    </row>
    <row r="553">
      <c r="E553" s="21"/>
      <c r="G553" s="13"/>
      <c r="I553" s="13"/>
      <c r="J553" s="17"/>
      <c r="K553" s="20"/>
      <c r="M553" s="13"/>
      <c r="N553" s="22"/>
      <c r="O553" s="13"/>
      <c r="R553" s="13"/>
      <c r="S553" s="22"/>
      <c r="U553" s="23"/>
      <c r="V553" s="5"/>
      <c r="W553" s="5"/>
      <c r="X553" s="5"/>
      <c r="Y553" s="6"/>
      <c r="Z553" s="5"/>
    </row>
    <row r="554">
      <c r="E554" s="21"/>
      <c r="G554" s="13"/>
      <c r="I554" s="13"/>
      <c r="J554" s="17"/>
      <c r="K554" s="20"/>
      <c r="M554" s="13"/>
      <c r="N554" s="22"/>
      <c r="O554" s="13"/>
      <c r="R554" s="13"/>
      <c r="S554" s="22"/>
      <c r="U554" s="23"/>
      <c r="V554" s="5"/>
      <c r="W554" s="5"/>
      <c r="X554" s="5"/>
      <c r="Y554" s="6"/>
      <c r="Z554" s="5"/>
    </row>
    <row r="555">
      <c r="E555" s="21"/>
      <c r="G555" s="13"/>
      <c r="I555" s="13"/>
      <c r="J555" s="17"/>
      <c r="K555" s="20"/>
      <c r="M555" s="13"/>
      <c r="N555" s="22"/>
      <c r="O555" s="13"/>
      <c r="R555" s="13"/>
      <c r="S555" s="22"/>
      <c r="U555" s="23"/>
      <c r="V555" s="5"/>
      <c r="W555" s="5"/>
      <c r="X555" s="5"/>
      <c r="Y555" s="6"/>
      <c r="Z555" s="5"/>
    </row>
    <row r="556">
      <c r="E556" s="21"/>
      <c r="G556" s="13"/>
      <c r="I556" s="13"/>
      <c r="J556" s="17"/>
      <c r="K556" s="20"/>
      <c r="M556" s="13"/>
      <c r="N556" s="22"/>
      <c r="O556" s="13"/>
      <c r="R556" s="13"/>
      <c r="S556" s="22"/>
      <c r="U556" s="23"/>
      <c r="V556" s="5"/>
      <c r="W556" s="5"/>
      <c r="X556" s="5"/>
      <c r="Y556" s="6"/>
      <c r="Z556" s="5"/>
    </row>
    <row r="557">
      <c r="E557" s="21"/>
      <c r="G557" s="13"/>
      <c r="I557" s="13"/>
      <c r="J557" s="17"/>
      <c r="K557" s="20"/>
      <c r="M557" s="13"/>
      <c r="N557" s="22"/>
      <c r="O557" s="13"/>
      <c r="R557" s="13"/>
      <c r="S557" s="22"/>
      <c r="U557" s="23"/>
      <c r="V557" s="5"/>
      <c r="W557" s="5"/>
      <c r="X557" s="5"/>
      <c r="Y557" s="6"/>
      <c r="Z557" s="5"/>
    </row>
    <row r="558">
      <c r="E558" s="21"/>
      <c r="G558" s="13"/>
      <c r="I558" s="13"/>
      <c r="J558" s="17"/>
      <c r="K558" s="20"/>
      <c r="M558" s="13"/>
      <c r="N558" s="22"/>
      <c r="O558" s="13"/>
      <c r="R558" s="13"/>
      <c r="S558" s="22"/>
      <c r="U558" s="23"/>
      <c r="V558" s="5"/>
      <c r="W558" s="5"/>
      <c r="X558" s="5"/>
      <c r="Y558" s="6"/>
      <c r="Z558" s="5"/>
    </row>
    <row r="559">
      <c r="E559" s="21"/>
      <c r="G559" s="13"/>
      <c r="I559" s="13"/>
      <c r="J559" s="17"/>
      <c r="K559" s="20"/>
      <c r="M559" s="13"/>
      <c r="N559" s="22"/>
      <c r="O559" s="13"/>
      <c r="R559" s="13"/>
      <c r="S559" s="22"/>
      <c r="U559" s="23"/>
      <c r="V559" s="5"/>
      <c r="W559" s="5"/>
      <c r="X559" s="5"/>
      <c r="Y559" s="6"/>
      <c r="Z559" s="5"/>
    </row>
    <row r="560">
      <c r="E560" s="21"/>
      <c r="G560" s="13"/>
      <c r="I560" s="13"/>
      <c r="J560" s="17"/>
      <c r="K560" s="20"/>
      <c r="M560" s="13"/>
      <c r="N560" s="22"/>
      <c r="O560" s="13"/>
      <c r="R560" s="13"/>
      <c r="S560" s="22"/>
      <c r="U560" s="23"/>
      <c r="V560" s="5"/>
      <c r="W560" s="5"/>
      <c r="X560" s="5"/>
      <c r="Y560" s="6"/>
      <c r="Z560" s="5"/>
    </row>
    <row r="561">
      <c r="E561" s="21"/>
      <c r="G561" s="13"/>
      <c r="I561" s="13"/>
      <c r="J561" s="17"/>
      <c r="K561" s="20"/>
      <c r="M561" s="13"/>
      <c r="N561" s="22"/>
      <c r="O561" s="13"/>
      <c r="R561" s="13"/>
      <c r="S561" s="22"/>
      <c r="U561" s="23"/>
      <c r="V561" s="5"/>
      <c r="W561" s="5"/>
      <c r="X561" s="5"/>
      <c r="Y561" s="6"/>
      <c r="Z561" s="5"/>
    </row>
    <row r="562">
      <c r="E562" s="21"/>
      <c r="G562" s="13"/>
      <c r="I562" s="13"/>
      <c r="J562" s="17"/>
      <c r="K562" s="20"/>
      <c r="M562" s="13"/>
      <c r="N562" s="22"/>
      <c r="O562" s="13"/>
      <c r="R562" s="13"/>
      <c r="S562" s="22"/>
      <c r="U562" s="23"/>
      <c r="V562" s="5"/>
      <c r="W562" s="5"/>
      <c r="X562" s="5"/>
      <c r="Y562" s="6"/>
      <c r="Z562" s="5"/>
    </row>
    <row r="563">
      <c r="E563" s="21"/>
      <c r="G563" s="13"/>
      <c r="I563" s="13"/>
      <c r="J563" s="17"/>
      <c r="K563" s="20"/>
      <c r="M563" s="13"/>
      <c r="N563" s="22"/>
      <c r="O563" s="13"/>
      <c r="R563" s="13"/>
      <c r="S563" s="22"/>
      <c r="U563" s="23"/>
      <c r="V563" s="5"/>
      <c r="W563" s="5"/>
      <c r="X563" s="5"/>
      <c r="Y563" s="6"/>
      <c r="Z563" s="5"/>
    </row>
    <row r="564">
      <c r="E564" s="21"/>
      <c r="G564" s="13"/>
      <c r="I564" s="13"/>
      <c r="J564" s="17"/>
      <c r="K564" s="20"/>
      <c r="M564" s="13"/>
      <c r="N564" s="22"/>
      <c r="O564" s="13"/>
      <c r="R564" s="13"/>
      <c r="S564" s="22"/>
      <c r="U564" s="23"/>
      <c r="V564" s="5"/>
      <c r="W564" s="5"/>
      <c r="X564" s="5"/>
      <c r="Y564" s="6"/>
      <c r="Z564" s="5"/>
    </row>
    <row r="565">
      <c r="E565" s="21"/>
      <c r="G565" s="13"/>
      <c r="I565" s="13"/>
      <c r="J565" s="17"/>
      <c r="K565" s="20"/>
      <c r="M565" s="13"/>
      <c r="N565" s="22"/>
      <c r="O565" s="13"/>
      <c r="R565" s="13"/>
      <c r="S565" s="22"/>
      <c r="U565" s="23"/>
      <c r="V565" s="5"/>
      <c r="W565" s="5"/>
      <c r="X565" s="5"/>
      <c r="Y565" s="6"/>
      <c r="Z565" s="5"/>
    </row>
    <row r="566">
      <c r="E566" s="21"/>
      <c r="G566" s="13"/>
      <c r="I566" s="13"/>
      <c r="J566" s="17"/>
      <c r="K566" s="20"/>
      <c r="M566" s="13"/>
      <c r="N566" s="22"/>
      <c r="O566" s="13"/>
      <c r="R566" s="13"/>
      <c r="S566" s="22"/>
      <c r="U566" s="23"/>
      <c r="V566" s="5"/>
      <c r="W566" s="5"/>
      <c r="X566" s="5"/>
      <c r="Y566" s="6"/>
      <c r="Z566" s="5"/>
    </row>
    <row r="567">
      <c r="E567" s="21"/>
      <c r="G567" s="13"/>
      <c r="I567" s="13"/>
      <c r="J567" s="17"/>
      <c r="K567" s="20"/>
      <c r="M567" s="13"/>
      <c r="N567" s="22"/>
      <c r="O567" s="13"/>
      <c r="R567" s="13"/>
      <c r="S567" s="22"/>
      <c r="U567" s="23"/>
      <c r="V567" s="5"/>
      <c r="W567" s="5"/>
      <c r="X567" s="5"/>
      <c r="Y567" s="6"/>
      <c r="Z567" s="5"/>
    </row>
    <row r="568">
      <c r="E568" s="21"/>
      <c r="G568" s="13"/>
      <c r="I568" s="13"/>
      <c r="J568" s="17"/>
      <c r="K568" s="20"/>
      <c r="M568" s="13"/>
      <c r="N568" s="22"/>
      <c r="O568" s="13"/>
      <c r="R568" s="13"/>
      <c r="S568" s="22"/>
      <c r="U568" s="23"/>
      <c r="V568" s="5"/>
      <c r="W568" s="5"/>
      <c r="X568" s="5"/>
      <c r="Y568" s="6"/>
      <c r="Z568" s="5"/>
    </row>
    <row r="569">
      <c r="E569" s="21"/>
      <c r="G569" s="13"/>
      <c r="I569" s="13"/>
      <c r="J569" s="17"/>
      <c r="K569" s="20"/>
      <c r="M569" s="13"/>
      <c r="N569" s="22"/>
      <c r="O569" s="13"/>
      <c r="R569" s="13"/>
      <c r="S569" s="22"/>
      <c r="U569" s="23"/>
      <c r="V569" s="5"/>
      <c r="W569" s="5"/>
      <c r="X569" s="5"/>
      <c r="Y569" s="6"/>
      <c r="Z569" s="5"/>
    </row>
    <row r="570">
      <c r="E570" s="21"/>
      <c r="G570" s="13"/>
      <c r="I570" s="13"/>
      <c r="J570" s="17"/>
      <c r="K570" s="20"/>
      <c r="M570" s="13"/>
      <c r="N570" s="22"/>
      <c r="O570" s="13"/>
      <c r="R570" s="13"/>
      <c r="S570" s="22"/>
      <c r="U570" s="23"/>
      <c r="V570" s="5"/>
      <c r="W570" s="5"/>
      <c r="X570" s="5"/>
      <c r="Y570" s="6"/>
      <c r="Z570" s="5"/>
    </row>
    <row r="571">
      <c r="E571" s="21"/>
      <c r="G571" s="13"/>
      <c r="I571" s="13"/>
      <c r="J571" s="17"/>
      <c r="K571" s="20"/>
      <c r="M571" s="13"/>
      <c r="N571" s="22"/>
      <c r="O571" s="13"/>
      <c r="R571" s="13"/>
      <c r="S571" s="22"/>
      <c r="U571" s="23"/>
      <c r="V571" s="5"/>
      <c r="W571" s="5"/>
      <c r="X571" s="5"/>
      <c r="Y571" s="6"/>
      <c r="Z571" s="5"/>
    </row>
    <row r="572">
      <c r="E572" s="21"/>
      <c r="G572" s="13"/>
      <c r="I572" s="13"/>
      <c r="J572" s="17"/>
      <c r="K572" s="20"/>
      <c r="M572" s="13"/>
      <c r="N572" s="22"/>
      <c r="O572" s="13"/>
      <c r="R572" s="13"/>
      <c r="S572" s="22"/>
      <c r="U572" s="23"/>
      <c r="V572" s="5"/>
      <c r="W572" s="5"/>
      <c r="X572" s="5"/>
      <c r="Y572" s="6"/>
      <c r="Z572" s="5"/>
    </row>
    <row r="573">
      <c r="E573" s="21"/>
      <c r="G573" s="13"/>
      <c r="I573" s="13"/>
      <c r="J573" s="17"/>
      <c r="K573" s="20"/>
      <c r="M573" s="13"/>
      <c r="N573" s="22"/>
      <c r="O573" s="13"/>
      <c r="R573" s="13"/>
      <c r="S573" s="22"/>
      <c r="U573" s="23"/>
      <c r="V573" s="5"/>
      <c r="W573" s="5"/>
      <c r="X573" s="5"/>
      <c r="Y573" s="6"/>
      <c r="Z573" s="5"/>
    </row>
    <row r="574">
      <c r="E574" s="21"/>
      <c r="G574" s="13"/>
      <c r="I574" s="13"/>
      <c r="J574" s="17"/>
      <c r="K574" s="20"/>
      <c r="M574" s="13"/>
      <c r="N574" s="22"/>
      <c r="O574" s="13"/>
      <c r="R574" s="13"/>
      <c r="S574" s="22"/>
      <c r="U574" s="23"/>
      <c r="V574" s="5"/>
      <c r="W574" s="5"/>
      <c r="X574" s="5"/>
      <c r="Y574" s="6"/>
      <c r="Z574" s="5"/>
    </row>
    <row r="575">
      <c r="E575" s="21"/>
      <c r="G575" s="13"/>
      <c r="I575" s="13"/>
      <c r="J575" s="17"/>
      <c r="K575" s="20"/>
      <c r="M575" s="13"/>
      <c r="N575" s="22"/>
      <c r="O575" s="13"/>
      <c r="R575" s="13"/>
      <c r="S575" s="22"/>
      <c r="U575" s="23"/>
      <c r="V575" s="5"/>
      <c r="W575" s="5"/>
      <c r="X575" s="5"/>
      <c r="Y575" s="6"/>
      <c r="Z575" s="5"/>
    </row>
    <row r="576">
      <c r="E576" s="21"/>
      <c r="G576" s="13"/>
      <c r="I576" s="13"/>
      <c r="J576" s="17"/>
      <c r="K576" s="20"/>
      <c r="M576" s="13"/>
      <c r="N576" s="22"/>
      <c r="O576" s="13"/>
      <c r="R576" s="13"/>
      <c r="S576" s="22"/>
      <c r="U576" s="23"/>
      <c r="V576" s="5"/>
      <c r="W576" s="5"/>
      <c r="X576" s="5"/>
      <c r="Y576" s="6"/>
      <c r="Z576" s="5"/>
    </row>
    <row r="577">
      <c r="E577" s="21"/>
      <c r="G577" s="13"/>
      <c r="I577" s="13"/>
      <c r="J577" s="17"/>
      <c r="K577" s="20"/>
      <c r="M577" s="13"/>
      <c r="N577" s="22"/>
      <c r="O577" s="13"/>
      <c r="R577" s="13"/>
      <c r="S577" s="22"/>
      <c r="U577" s="23"/>
      <c r="V577" s="5"/>
      <c r="W577" s="5"/>
      <c r="X577" s="5"/>
      <c r="Y577" s="6"/>
      <c r="Z577" s="5"/>
    </row>
    <row r="578">
      <c r="E578" s="21"/>
      <c r="G578" s="13"/>
      <c r="I578" s="13"/>
      <c r="J578" s="17"/>
      <c r="K578" s="20"/>
      <c r="M578" s="13"/>
      <c r="N578" s="22"/>
      <c r="O578" s="13"/>
      <c r="R578" s="13"/>
      <c r="S578" s="22"/>
      <c r="U578" s="23"/>
      <c r="V578" s="5"/>
      <c r="W578" s="5"/>
      <c r="X578" s="5"/>
      <c r="Y578" s="6"/>
      <c r="Z578" s="5"/>
    </row>
    <row r="579">
      <c r="E579" s="21"/>
      <c r="G579" s="13"/>
      <c r="I579" s="13"/>
      <c r="J579" s="17"/>
      <c r="K579" s="20"/>
      <c r="M579" s="13"/>
      <c r="N579" s="22"/>
      <c r="O579" s="13"/>
      <c r="R579" s="13"/>
      <c r="S579" s="22"/>
      <c r="U579" s="23"/>
      <c r="V579" s="5"/>
      <c r="W579" s="5"/>
      <c r="X579" s="5"/>
      <c r="Y579" s="6"/>
      <c r="Z579" s="5"/>
    </row>
    <row r="580">
      <c r="E580" s="21"/>
      <c r="G580" s="13"/>
      <c r="I580" s="13"/>
      <c r="J580" s="17"/>
      <c r="K580" s="20"/>
      <c r="M580" s="13"/>
      <c r="N580" s="22"/>
      <c r="O580" s="13"/>
      <c r="R580" s="13"/>
      <c r="S580" s="22"/>
      <c r="U580" s="23"/>
      <c r="V580" s="5"/>
      <c r="W580" s="5"/>
      <c r="X580" s="5"/>
      <c r="Y580" s="6"/>
      <c r="Z580" s="5"/>
    </row>
    <row r="581">
      <c r="E581" s="21"/>
      <c r="G581" s="13"/>
      <c r="I581" s="13"/>
      <c r="J581" s="17"/>
      <c r="K581" s="20"/>
      <c r="M581" s="13"/>
      <c r="N581" s="22"/>
      <c r="O581" s="13"/>
      <c r="R581" s="13"/>
      <c r="S581" s="22"/>
      <c r="U581" s="23"/>
      <c r="V581" s="5"/>
      <c r="W581" s="5"/>
      <c r="X581" s="5"/>
      <c r="Y581" s="6"/>
      <c r="Z581" s="5"/>
    </row>
    <row r="582">
      <c r="E582" s="21"/>
      <c r="G582" s="13"/>
      <c r="I582" s="13"/>
      <c r="J582" s="17"/>
      <c r="K582" s="20"/>
      <c r="M582" s="13"/>
      <c r="N582" s="22"/>
      <c r="O582" s="13"/>
      <c r="R582" s="13"/>
      <c r="S582" s="22"/>
      <c r="U582" s="23"/>
      <c r="V582" s="5"/>
      <c r="W582" s="5"/>
      <c r="X582" s="5"/>
      <c r="Y582" s="6"/>
      <c r="Z582" s="5"/>
    </row>
    <row r="583">
      <c r="E583" s="21"/>
      <c r="G583" s="13"/>
      <c r="I583" s="13"/>
      <c r="J583" s="17"/>
      <c r="K583" s="20"/>
      <c r="M583" s="13"/>
      <c r="N583" s="22"/>
      <c r="O583" s="13"/>
      <c r="R583" s="13"/>
      <c r="S583" s="22"/>
      <c r="U583" s="23"/>
      <c r="V583" s="5"/>
      <c r="W583" s="5"/>
      <c r="X583" s="5"/>
      <c r="Y583" s="6"/>
      <c r="Z583" s="5"/>
    </row>
    <row r="584">
      <c r="E584" s="21"/>
      <c r="G584" s="13"/>
      <c r="I584" s="13"/>
      <c r="J584" s="17"/>
      <c r="K584" s="20"/>
      <c r="M584" s="13"/>
      <c r="N584" s="22"/>
      <c r="O584" s="13"/>
      <c r="R584" s="13"/>
      <c r="S584" s="22"/>
      <c r="U584" s="23"/>
      <c r="V584" s="5"/>
      <c r="W584" s="5"/>
      <c r="X584" s="5"/>
      <c r="Y584" s="6"/>
      <c r="Z584" s="5"/>
    </row>
    <row r="585">
      <c r="E585" s="21"/>
      <c r="G585" s="13"/>
      <c r="I585" s="13"/>
      <c r="J585" s="17"/>
      <c r="K585" s="20"/>
      <c r="M585" s="13"/>
      <c r="N585" s="22"/>
      <c r="O585" s="13"/>
      <c r="R585" s="13"/>
      <c r="S585" s="22"/>
      <c r="U585" s="23"/>
      <c r="V585" s="5"/>
      <c r="W585" s="5"/>
      <c r="X585" s="5"/>
      <c r="Y585" s="6"/>
      <c r="Z585" s="5"/>
    </row>
    <row r="586">
      <c r="E586" s="21"/>
      <c r="G586" s="13"/>
      <c r="I586" s="13"/>
      <c r="J586" s="17"/>
      <c r="K586" s="20"/>
      <c r="M586" s="13"/>
      <c r="N586" s="22"/>
      <c r="O586" s="13"/>
      <c r="R586" s="13"/>
      <c r="S586" s="22"/>
      <c r="U586" s="23"/>
      <c r="V586" s="5"/>
      <c r="W586" s="5"/>
      <c r="X586" s="5"/>
      <c r="Y586" s="6"/>
      <c r="Z586" s="5"/>
    </row>
    <row r="587">
      <c r="E587" s="21"/>
      <c r="G587" s="13"/>
      <c r="I587" s="13"/>
      <c r="J587" s="17"/>
      <c r="K587" s="20"/>
      <c r="M587" s="13"/>
      <c r="N587" s="22"/>
      <c r="O587" s="13"/>
      <c r="R587" s="13"/>
      <c r="S587" s="22"/>
      <c r="U587" s="23"/>
      <c r="V587" s="5"/>
      <c r="W587" s="5"/>
      <c r="X587" s="5"/>
      <c r="Y587" s="6"/>
      <c r="Z587" s="5"/>
    </row>
    <row r="588">
      <c r="E588" s="21"/>
      <c r="G588" s="13"/>
      <c r="I588" s="13"/>
      <c r="J588" s="17"/>
      <c r="K588" s="20"/>
      <c r="M588" s="13"/>
      <c r="N588" s="22"/>
      <c r="O588" s="13"/>
      <c r="R588" s="13"/>
      <c r="S588" s="22"/>
      <c r="U588" s="23"/>
      <c r="V588" s="5"/>
      <c r="W588" s="5"/>
      <c r="X588" s="5"/>
      <c r="Y588" s="6"/>
      <c r="Z588" s="5"/>
    </row>
    <row r="589">
      <c r="E589" s="21"/>
      <c r="G589" s="13"/>
      <c r="I589" s="13"/>
      <c r="J589" s="17"/>
      <c r="K589" s="20"/>
      <c r="M589" s="13"/>
      <c r="N589" s="22"/>
      <c r="O589" s="13"/>
      <c r="R589" s="13"/>
      <c r="S589" s="22"/>
      <c r="U589" s="23"/>
      <c r="V589" s="5"/>
      <c r="W589" s="5"/>
      <c r="X589" s="5"/>
      <c r="Y589" s="6"/>
      <c r="Z589" s="5"/>
    </row>
    <row r="590">
      <c r="E590" s="21"/>
      <c r="G590" s="13"/>
      <c r="I590" s="13"/>
      <c r="J590" s="17"/>
      <c r="K590" s="20"/>
      <c r="M590" s="13"/>
      <c r="N590" s="22"/>
      <c r="O590" s="13"/>
      <c r="R590" s="13"/>
      <c r="S590" s="22"/>
      <c r="U590" s="23"/>
      <c r="V590" s="5"/>
      <c r="W590" s="5"/>
      <c r="X590" s="5"/>
      <c r="Y590" s="6"/>
      <c r="Z590" s="5"/>
    </row>
    <row r="591">
      <c r="E591" s="21"/>
      <c r="G591" s="13"/>
      <c r="I591" s="13"/>
      <c r="J591" s="17"/>
      <c r="K591" s="20"/>
      <c r="M591" s="13"/>
      <c r="N591" s="22"/>
      <c r="O591" s="13"/>
      <c r="R591" s="13"/>
      <c r="S591" s="22"/>
      <c r="U591" s="23"/>
      <c r="V591" s="5"/>
      <c r="W591" s="5"/>
      <c r="X591" s="5"/>
      <c r="Y591" s="6"/>
      <c r="Z591" s="5"/>
    </row>
    <row r="592">
      <c r="E592" s="21"/>
      <c r="G592" s="13"/>
      <c r="I592" s="13"/>
      <c r="J592" s="17"/>
      <c r="K592" s="20"/>
      <c r="M592" s="13"/>
      <c r="N592" s="22"/>
      <c r="O592" s="13"/>
      <c r="R592" s="13"/>
      <c r="S592" s="22"/>
      <c r="U592" s="23"/>
      <c r="V592" s="5"/>
      <c r="W592" s="5"/>
      <c r="X592" s="5"/>
      <c r="Y592" s="6"/>
      <c r="Z592" s="5"/>
    </row>
    <row r="593">
      <c r="E593" s="21"/>
      <c r="G593" s="13"/>
      <c r="I593" s="13"/>
      <c r="J593" s="17"/>
      <c r="K593" s="20"/>
      <c r="M593" s="13"/>
      <c r="N593" s="22"/>
      <c r="O593" s="13"/>
      <c r="R593" s="13"/>
      <c r="S593" s="22"/>
      <c r="U593" s="23"/>
      <c r="V593" s="5"/>
      <c r="W593" s="5"/>
      <c r="X593" s="5"/>
      <c r="Y593" s="6"/>
      <c r="Z593" s="5"/>
    </row>
    <row r="594">
      <c r="E594" s="21"/>
      <c r="G594" s="13"/>
      <c r="I594" s="13"/>
      <c r="J594" s="17"/>
      <c r="K594" s="20"/>
      <c r="M594" s="13"/>
      <c r="N594" s="22"/>
      <c r="O594" s="13"/>
      <c r="R594" s="13"/>
      <c r="S594" s="22"/>
      <c r="U594" s="23"/>
      <c r="V594" s="5"/>
      <c r="W594" s="5"/>
      <c r="X594" s="5"/>
      <c r="Y594" s="6"/>
      <c r="Z594" s="5"/>
    </row>
    <row r="595">
      <c r="E595" s="21"/>
      <c r="G595" s="13"/>
      <c r="I595" s="13"/>
      <c r="J595" s="17"/>
      <c r="K595" s="20"/>
      <c r="M595" s="13"/>
      <c r="N595" s="22"/>
      <c r="O595" s="13"/>
      <c r="R595" s="13"/>
      <c r="S595" s="22"/>
      <c r="U595" s="23"/>
      <c r="V595" s="5"/>
      <c r="W595" s="5"/>
      <c r="X595" s="5"/>
      <c r="Y595" s="6"/>
      <c r="Z595" s="5"/>
    </row>
    <row r="596">
      <c r="E596" s="21"/>
      <c r="G596" s="13"/>
      <c r="I596" s="13"/>
      <c r="J596" s="17"/>
      <c r="K596" s="20"/>
      <c r="M596" s="13"/>
      <c r="N596" s="22"/>
      <c r="O596" s="13"/>
      <c r="R596" s="13"/>
      <c r="S596" s="22"/>
      <c r="U596" s="23"/>
      <c r="V596" s="5"/>
      <c r="W596" s="5"/>
      <c r="X596" s="5"/>
      <c r="Y596" s="6"/>
      <c r="Z596" s="5"/>
    </row>
    <row r="597">
      <c r="E597" s="21"/>
      <c r="G597" s="13"/>
      <c r="I597" s="13"/>
      <c r="J597" s="17"/>
      <c r="K597" s="20"/>
      <c r="M597" s="13"/>
      <c r="N597" s="22"/>
      <c r="O597" s="13"/>
      <c r="R597" s="13"/>
      <c r="S597" s="22"/>
      <c r="U597" s="23"/>
      <c r="V597" s="5"/>
      <c r="W597" s="5"/>
      <c r="X597" s="5"/>
      <c r="Y597" s="6"/>
      <c r="Z597" s="5"/>
    </row>
    <row r="598">
      <c r="E598" s="21"/>
      <c r="G598" s="13"/>
      <c r="I598" s="13"/>
      <c r="J598" s="17"/>
      <c r="K598" s="20"/>
      <c r="M598" s="13"/>
      <c r="N598" s="22"/>
      <c r="O598" s="13"/>
      <c r="R598" s="13"/>
      <c r="S598" s="22"/>
      <c r="U598" s="23"/>
      <c r="V598" s="5"/>
      <c r="W598" s="5"/>
      <c r="X598" s="5"/>
      <c r="Y598" s="6"/>
      <c r="Z598" s="5"/>
    </row>
    <row r="599">
      <c r="E599" s="21"/>
      <c r="G599" s="13"/>
      <c r="I599" s="13"/>
      <c r="J599" s="17"/>
      <c r="K599" s="20"/>
      <c r="M599" s="13"/>
      <c r="N599" s="22"/>
      <c r="O599" s="13"/>
      <c r="R599" s="13"/>
      <c r="S599" s="22"/>
      <c r="U599" s="23"/>
      <c r="V599" s="5"/>
      <c r="W599" s="5"/>
      <c r="X599" s="5"/>
      <c r="Y599" s="6"/>
      <c r="Z599" s="5"/>
    </row>
    <row r="600">
      <c r="E600" s="21"/>
      <c r="G600" s="13"/>
      <c r="I600" s="13"/>
      <c r="J600" s="17"/>
      <c r="K600" s="20"/>
      <c r="M600" s="13"/>
      <c r="N600" s="22"/>
      <c r="O600" s="13"/>
      <c r="R600" s="13"/>
      <c r="S600" s="22"/>
      <c r="U600" s="23"/>
      <c r="V600" s="5"/>
      <c r="W600" s="5"/>
      <c r="X600" s="5"/>
      <c r="Y600" s="6"/>
      <c r="Z600" s="5"/>
    </row>
    <row r="601">
      <c r="E601" s="21"/>
      <c r="G601" s="13"/>
      <c r="I601" s="13"/>
      <c r="J601" s="17"/>
      <c r="K601" s="20"/>
      <c r="M601" s="13"/>
      <c r="N601" s="22"/>
      <c r="O601" s="13"/>
      <c r="R601" s="13"/>
      <c r="S601" s="22"/>
      <c r="U601" s="23"/>
      <c r="V601" s="5"/>
      <c r="W601" s="5"/>
      <c r="X601" s="5"/>
      <c r="Y601" s="6"/>
      <c r="Z601" s="5"/>
    </row>
    <row r="602">
      <c r="E602" s="21"/>
      <c r="G602" s="13"/>
      <c r="I602" s="13"/>
      <c r="J602" s="17"/>
      <c r="K602" s="20"/>
      <c r="M602" s="13"/>
      <c r="N602" s="22"/>
      <c r="O602" s="13"/>
      <c r="R602" s="13"/>
      <c r="S602" s="22"/>
      <c r="U602" s="23"/>
      <c r="V602" s="5"/>
      <c r="W602" s="5"/>
      <c r="X602" s="5"/>
      <c r="Y602" s="6"/>
      <c r="Z602" s="5"/>
    </row>
    <row r="603">
      <c r="E603" s="21"/>
      <c r="G603" s="13"/>
      <c r="I603" s="13"/>
      <c r="J603" s="17"/>
      <c r="K603" s="20"/>
      <c r="M603" s="13"/>
      <c r="N603" s="22"/>
      <c r="O603" s="13"/>
      <c r="R603" s="13"/>
      <c r="S603" s="22"/>
      <c r="U603" s="23"/>
      <c r="V603" s="5"/>
      <c r="W603" s="5"/>
      <c r="X603" s="5"/>
      <c r="Y603" s="6"/>
      <c r="Z603" s="5"/>
    </row>
    <row r="604">
      <c r="E604" s="21"/>
      <c r="G604" s="13"/>
      <c r="I604" s="13"/>
      <c r="J604" s="17"/>
      <c r="K604" s="20"/>
      <c r="M604" s="13"/>
      <c r="N604" s="22"/>
      <c r="O604" s="13"/>
      <c r="R604" s="13"/>
      <c r="S604" s="22"/>
      <c r="U604" s="23"/>
      <c r="V604" s="5"/>
      <c r="W604" s="5"/>
      <c r="X604" s="5"/>
      <c r="Y604" s="6"/>
      <c r="Z604" s="5"/>
    </row>
    <row r="605">
      <c r="E605" s="21"/>
      <c r="G605" s="13"/>
      <c r="I605" s="13"/>
      <c r="J605" s="17"/>
      <c r="K605" s="20"/>
      <c r="M605" s="13"/>
      <c r="N605" s="22"/>
      <c r="O605" s="13"/>
      <c r="R605" s="13"/>
      <c r="S605" s="22"/>
      <c r="U605" s="23"/>
      <c r="V605" s="5"/>
      <c r="W605" s="5"/>
      <c r="X605" s="5"/>
      <c r="Y605" s="6"/>
      <c r="Z605" s="5"/>
    </row>
    <row r="606">
      <c r="E606" s="21"/>
      <c r="G606" s="13"/>
      <c r="I606" s="13"/>
      <c r="J606" s="17"/>
      <c r="K606" s="20"/>
      <c r="M606" s="13"/>
      <c r="N606" s="22"/>
      <c r="O606" s="13"/>
      <c r="R606" s="13"/>
      <c r="S606" s="22"/>
      <c r="U606" s="23"/>
      <c r="V606" s="5"/>
      <c r="W606" s="5"/>
      <c r="X606" s="5"/>
      <c r="Y606" s="6"/>
      <c r="Z606" s="5"/>
    </row>
    <row r="607">
      <c r="E607" s="21"/>
      <c r="G607" s="13"/>
      <c r="I607" s="13"/>
      <c r="J607" s="17"/>
      <c r="K607" s="20"/>
      <c r="M607" s="13"/>
      <c r="N607" s="22"/>
      <c r="O607" s="13"/>
      <c r="R607" s="13"/>
      <c r="S607" s="22"/>
      <c r="U607" s="23"/>
      <c r="V607" s="5"/>
      <c r="W607" s="5"/>
      <c r="X607" s="5"/>
      <c r="Y607" s="6"/>
      <c r="Z607" s="5"/>
    </row>
    <row r="608">
      <c r="E608" s="21"/>
      <c r="G608" s="13"/>
      <c r="I608" s="13"/>
      <c r="J608" s="17"/>
      <c r="K608" s="20"/>
      <c r="M608" s="13"/>
      <c r="N608" s="22"/>
      <c r="O608" s="13"/>
      <c r="R608" s="13"/>
      <c r="S608" s="22"/>
      <c r="U608" s="23"/>
      <c r="V608" s="5"/>
      <c r="W608" s="5"/>
      <c r="X608" s="5"/>
      <c r="Y608" s="6"/>
      <c r="Z608" s="5"/>
    </row>
    <row r="609">
      <c r="E609" s="21"/>
      <c r="G609" s="13"/>
      <c r="I609" s="13"/>
      <c r="J609" s="17"/>
      <c r="K609" s="20"/>
      <c r="M609" s="13"/>
      <c r="N609" s="22"/>
      <c r="O609" s="13"/>
      <c r="R609" s="13"/>
      <c r="S609" s="22"/>
      <c r="U609" s="23"/>
      <c r="V609" s="5"/>
      <c r="W609" s="5"/>
      <c r="X609" s="5"/>
      <c r="Y609" s="6"/>
      <c r="Z609" s="5"/>
    </row>
    <row r="610">
      <c r="E610" s="21"/>
      <c r="G610" s="13"/>
      <c r="I610" s="13"/>
      <c r="J610" s="17"/>
      <c r="K610" s="20"/>
      <c r="M610" s="13"/>
      <c r="N610" s="22"/>
      <c r="O610" s="13"/>
      <c r="R610" s="13"/>
      <c r="S610" s="22"/>
      <c r="U610" s="23"/>
      <c r="V610" s="5"/>
      <c r="W610" s="5"/>
      <c r="X610" s="5"/>
      <c r="Y610" s="6"/>
      <c r="Z610" s="5"/>
    </row>
    <row r="611">
      <c r="E611" s="21"/>
      <c r="G611" s="13"/>
      <c r="I611" s="13"/>
      <c r="J611" s="17"/>
      <c r="K611" s="20"/>
      <c r="M611" s="13"/>
      <c r="N611" s="22"/>
      <c r="O611" s="13"/>
      <c r="R611" s="13"/>
      <c r="S611" s="22"/>
      <c r="U611" s="23"/>
      <c r="V611" s="5"/>
      <c r="W611" s="5"/>
      <c r="X611" s="5"/>
      <c r="Y611" s="6"/>
      <c r="Z611" s="5"/>
    </row>
    <row r="612">
      <c r="E612" s="21"/>
      <c r="G612" s="13"/>
      <c r="I612" s="13"/>
      <c r="J612" s="17"/>
      <c r="K612" s="20"/>
      <c r="M612" s="13"/>
      <c r="N612" s="22"/>
      <c r="O612" s="13"/>
      <c r="R612" s="13"/>
      <c r="S612" s="22"/>
      <c r="U612" s="23"/>
      <c r="V612" s="5"/>
      <c r="W612" s="5"/>
      <c r="X612" s="5"/>
      <c r="Y612" s="6"/>
      <c r="Z612" s="5"/>
    </row>
    <row r="613">
      <c r="E613" s="21"/>
      <c r="G613" s="13"/>
      <c r="I613" s="13"/>
      <c r="J613" s="17"/>
      <c r="K613" s="20"/>
      <c r="M613" s="13"/>
      <c r="N613" s="22"/>
      <c r="O613" s="13"/>
      <c r="R613" s="13"/>
      <c r="S613" s="22"/>
      <c r="U613" s="23"/>
      <c r="V613" s="5"/>
      <c r="W613" s="5"/>
      <c r="X613" s="5"/>
      <c r="Y613" s="6"/>
      <c r="Z613" s="5"/>
    </row>
    <row r="614">
      <c r="E614" s="21"/>
      <c r="G614" s="13"/>
      <c r="I614" s="13"/>
      <c r="J614" s="17"/>
      <c r="K614" s="20"/>
      <c r="M614" s="13"/>
      <c r="N614" s="22"/>
      <c r="O614" s="13"/>
      <c r="R614" s="13"/>
      <c r="S614" s="22"/>
      <c r="U614" s="23"/>
      <c r="V614" s="5"/>
      <c r="W614" s="5"/>
      <c r="X614" s="5"/>
      <c r="Y614" s="6"/>
      <c r="Z614" s="5"/>
    </row>
    <row r="615">
      <c r="E615" s="21"/>
      <c r="G615" s="13"/>
      <c r="I615" s="13"/>
      <c r="J615" s="17"/>
      <c r="K615" s="20"/>
      <c r="M615" s="13"/>
      <c r="N615" s="22"/>
      <c r="O615" s="13"/>
      <c r="R615" s="13"/>
      <c r="S615" s="22"/>
      <c r="U615" s="23"/>
      <c r="V615" s="5"/>
      <c r="W615" s="5"/>
      <c r="X615" s="5"/>
      <c r="Y615" s="6"/>
      <c r="Z615" s="5"/>
    </row>
    <row r="616">
      <c r="E616" s="21"/>
      <c r="G616" s="13"/>
      <c r="I616" s="13"/>
      <c r="J616" s="17"/>
      <c r="K616" s="20"/>
      <c r="M616" s="13"/>
      <c r="N616" s="22"/>
      <c r="O616" s="13"/>
      <c r="R616" s="13"/>
      <c r="S616" s="22"/>
      <c r="U616" s="23"/>
      <c r="V616" s="5"/>
      <c r="W616" s="5"/>
      <c r="X616" s="5"/>
      <c r="Y616" s="6"/>
      <c r="Z616" s="5"/>
    </row>
    <row r="617">
      <c r="E617" s="21"/>
      <c r="G617" s="13"/>
      <c r="I617" s="13"/>
      <c r="J617" s="17"/>
      <c r="K617" s="20"/>
      <c r="M617" s="13"/>
      <c r="N617" s="22"/>
      <c r="O617" s="13"/>
      <c r="R617" s="13"/>
      <c r="S617" s="22"/>
      <c r="U617" s="23"/>
      <c r="V617" s="5"/>
      <c r="W617" s="5"/>
      <c r="X617" s="5"/>
      <c r="Y617" s="6"/>
      <c r="Z617" s="5"/>
    </row>
    <row r="618">
      <c r="E618" s="21"/>
      <c r="G618" s="13"/>
      <c r="I618" s="13"/>
      <c r="J618" s="17"/>
      <c r="K618" s="20"/>
      <c r="M618" s="13"/>
      <c r="N618" s="22"/>
      <c r="O618" s="13"/>
      <c r="R618" s="13"/>
      <c r="S618" s="22"/>
      <c r="U618" s="23"/>
      <c r="V618" s="5"/>
      <c r="W618" s="5"/>
      <c r="X618" s="5"/>
      <c r="Y618" s="6"/>
      <c r="Z618" s="5"/>
    </row>
    <row r="619">
      <c r="E619" s="21"/>
      <c r="G619" s="13"/>
      <c r="I619" s="13"/>
      <c r="J619" s="17"/>
      <c r="K619" s="20"/>
      <c r="M619" s="13"/>
      <c r="N619" s="22"/>
      <c r="O619" s="13"/>
      <c r="R619" s="13"/>
      <c r="S619" s="22"/>
      <c r="U619" s="23"/>
      <c r="V619" s="5"/>
      <c r="W619" s="5"/>
      <c r="X619" s="5"/>
      <c r="Y619" s="6"/>
      <c r="Z619" s="5"/>
    </row>
    <row r="620">
      <c r="E620" s="21"/>
      <c r="G620" s="13"/>
      <c r="I620" s="13"/>
      <c r="J620" s="17"/>
      <c r="K620" s="20"/>
      <c r="M620" s="13"/>
      <c r="N620" s="22"/>
      <c r="O620" s="13"/>
      <c r="R620" s="13"/>
      <c r="S620" s="22"/>
      <c r="U620" s="23"/>
      <c r="V620" s="5"/>
      <c r="W620" s="5"/>
      <c r="X620" s="5"/>
      <c r="Y620" s="6"/>
      <c r="Z620" s="5"/>
    </row>
    <row r="621">
      <c r="E621" s="21"/>
      <c r="G621" s="13"/>
      <c r="I621" s="13"/>
      <c r="J621" s="17"/>
      <c r="K621" s="20"/>
      <c r="M621" s="13"/>
      <c r="N621" s="22"/>
      <c r="O621" s="13"/>
      <c r="R621" s="13"/>
      <c r="S621" s="22"/>
      <c r="U621" s="23"/>
      <c r="V621" s="5"/>
      <c r="W621" s="5"/>
      <c r="X621" s="5"/>
      <c r="Y621" s="6"/>
      <c r="Z621" s="5"/>
    </row>
    <row r="622">
      <c r="E622" s="21"/>
      <c r="G622" s="13"/>
      <c r="I622" s="13"/>
      <c r="J622" s="17"/>
      <c r="K622" s="20"/>
      <c r="M622" s="13"/>
      <c r="N622" s="22"/>
      <c r="O622" s="13"/>
      <c r="R622" s="13"/>
      <c r="S622" s="22"/>
      <c r="U622" s="23"/>
      <c r="V622" s="5"/>
      <c r="W622" s="5"/>
      <c r="X622" s="5"/>
      <c r="Y622" s="6"/>
      <c r="Z622" s="5"/>
    </row>
    <row r="623">
      <c r="E623" s="21"/>
      <c r="G623" s="13"/>
      <c r="I623" s="13"/>
      <c r="J623" s="17"/>
      <c r="K623" s="20"/>
      <c r="M623" s="13"/>
      <c r="N623" s="22"/>
      <c r="O623" s="13"/>
      <c r="R623" s="13"/>
      <c r="S623" s="22"/>
      <c r="U623" s="23"/>
      <c r="V623" s="5"/>
      <c r="W623" s="5"/>
      <c r="X623" s="5"/>
      <c r="Y623" s="6"/>
      <c r="Z623" s="5"/>
    </row>
    <row r="624">
      <c r="E624" s="21"/>
      <c r="G624" s="13"/>
      <c r="I624" s="13"/>
      <c r="J624" s="17"/>
      <c r="K624" s="20"/>
      <c r="M624" s="13"/>
      <c r="N624" s="22"/>
      <c r="O624" s="13"/>
      <c r="R624" s="13"/>
      <c r="S624" s="22"/>
      <c r="U624" s="23"/>
      <c r="V624" s="5"/>
      <c r="W624" s="5"/>
      <c r="X624" s="5"/>
      <c r="Y624" s="6"/>
      <c r="Z624" s="5"/>
    </row>
    <row r="625">
      <c r="E625" s="21"/>
      <c r="G625" s="13"/>
      <c r="I625" s="13"/>
      <c r="J625" s="17"/>
      <c r="K625" s="20"/>
      <c r="M625" s="13"/>
      <c r="N625" s="22"/>
      <c r="O625" s="13"/>
      <c r="R625" s="13"/>
      <c r="S625" s="22"/>
      <c r="U625" s="23"/>
      <c r="V625" s="5"/>
      <c r="W625" s="5"/>
      <c r="X625" s="5"/>
      <c r="Y625" s="6"/>
      <c r="Z625" s="5"/>
    </row>
    <row r="626">
      <c r="E626" s="21"/>
      <c r="G626" s="13"/>
      <c r="I626" s="13"/>
      <c r="J626" s="17"/>
      <c r="K626" s="20"/>
      <c r="M626" s="13"/>
      <c r="N626" s="22"/>
      <c r="O626" s="13"/>
      <c r="R626" s="13"/>
      <c r="S626" s="22"/>
      <c r="U626" s="23"/>
      <c r="V626" s="5"/>
      <c r="W626" s="5"/>
      <c r="X626" s="5"/>
      <c r="Y626" s="6"/>
      <c r="Z626" s="5"/>
    </row>
    <row r="627">
      <c r="E627" s="21"/>
      <c r="G627" s="13"/>
      <c r="I627" s="13"/>
      <c r="J627" s="17"/>
      <c r="K627" s="20"/>
      <c r="M627" s="13"/>
      <c r="N627" s="22"/>
      <c r="O627" s="13"/>
      <c r="R627" s="13"/>
      <c r="S627" s="22"/>
      <c r="U627" s="23"/>
      <c r="V627" s="5"/>
      <c r="W627" s="5"/>
      <c r="X627" s="5"/>
      <c r="Y627" s="6"/>
      <c r="Z627" s="5"/>
    </row>
    <row r="628">
      <c r="E628" s="21"/>
      <c r="G628" s="13"/>
      <c r="I628" s="13"/>
      <c r="J628" s="17"/>
      <c r="K628" s="20"/>
      <c r="M628" s="13"/>
      <c r="N628" s="22"/>
      <c r="O628" s="13"/>
      <c r="R628" s="13"/>
      <c r="S628" s="22"/>
      <c r="U628" s="23"/>
      <c r="V628" s="5"/>
      <c r="W628" s="5"/>
      <c r="X628" s="5"/>
      <c r="Y628" s="6"/>
      <c r="Z628" s="5"/>
    </row>
    <row r="629">
      <c r="E629" s="21"/>
      <c r="G629" s="13"/>
      <c r="I629" s="13"/>
      <c r="J629" s="17"/>
      <c r="K629" s="20"/>
      <c r="M629" s="13"/>
      <c r="N629" s="22"/>
      <c r="O629" s="13"/>
      <c r="R629" s="13"/>
      <c r="S629" s="22"/>
      <c r="U629" s="23"/>
      <c r="V629" s="5"/>
      <c r="W629" s="5"/>
      <c r="X629" s="5"/>
      <c r="Y629" s="6"/>
      <c r="Z629" s="5"/>
    </row>
    <row r="630">
      <c r="E630" s="21"/>
      <c r="G630" s="13"/>
      <c r="I630" s="13"/>
      <c r="J630" s="17"/>
      <c r="K630" s="20"/>
      <c r="M630" s="13"/>
      <c r="N630" s="22"/>
      <c r="O630" s="13"/>
      <c r="R630" s="13"/>
      <c r="S630" s="22"/>
      <c r="U630" s="23"/>
      <c r="V630" s="5"/>
      <c r="W630" s="5"/>
      <c r="X630" s="5"/>
      <c r="Y630" s="6"/>
      <c r="Z630" s="5"/>
    </row>
    <row r="631">
      <c r="E631" s="21"/>
      <c r="G631" s="13"/>
      <c r="I631" s="13"/>
      <c r="J631" s="17"/>
      <c r="K631" s="20"/>
      <c r="M631" s="13"/>
      <c r="N631" s="22"/>
      <c r="O631" s="13"/>
      <c r="R631" s="13"/>
      <c r="S631" s="22"/>
      <c r="U631" s="23"/>
      <c r="V631" s="5"/>
      <c r="W631" s="5"/>
      <c r="X631" s="5"/>
      <c r="Y631" s="6"/>
      <c r="Z631" s="5"/>
    </row>
    <row r="632">
      <c r="E632" s="21"/>
      <c r="G632" s="13"/>
      <c r="I632" s="13"/>
      <c r="J632" s="17"/>
      <c r="K632" s="20"/>
      <c r="M632" s="13"/>
      <c r="N632" s="22"/>
      <c r="O632" s="13"/>
      <c r="R632" s="13"/>
      <c r="S632" s="22"/>
      <c r="U632" s="23"/>
      <c r="V632" s="5"/>
      <c r="W632" s="5"/>
      <c r="X632" s="5"/>
      <c r="Y632" s="6"/>
      <c r="Z632" s="5"/>
    </row>
    <row r="633">
      <c r="E633" s="21"/>
      <c r="G633" s="13"/>
      <c r="I633" s="13"/>
      <c r="J633" s="17"/>
      <c r="K633" s="20"/>
      <c r="M633" s="13"/>
      <c r="N633" s="22"/>
      <c r="O633" s="13"/>
      <c r="R633" s="13"/>
      <c r="S633" s="22"/>
      <c r="U633" s="23"/>
      <c r="V633" s="5"/>
      <c r="W633" s="5"/>
      <c r="X633" s="5"/>
      <c r="Y633" s="6"/>
      <c r="Z633" s="5"/>
    </row>
    <row r="634">
      <c r="E634" s="21"/>
      <c r="G634" s="13"/>
      <c r="I634" s="13"/>
      <c r="J634" s="17"/>
      <c r="K634" s="20"/>
      <c r="M634" s="13"/>
      <c r="N634" s="22"/>
      <c r="O634" s="13"/>
      <c r="R634" s="13"/>
      <c r="S634" s="22"/>
      <c r="U634" s="23"/>
      <c r="V634" s="5"/>
      <c r="W634" s="5"/>
      <c r="X634" s="5"/>
      <c r="Y634" s="6"/>
      <c r="Z634" s="5"/>
    </row>
    <row r="635">
      <c r="E635" s="21"/>
      <c r="G635" s="13"/>
      <c r="I635" s="13"/>
      <c r="J635" s="17"/>
      <c r="K635" s="20"/>
      <c r="M635" s="13"/>
      <c r="N635" s="22"/>
      <c r="O635" s="13"/>
      <c r="R635" s="13"/>
      <c r="S635" s="22"/>
      <c r="U635" s="23"/>
      <c r="V635" s="5"/>
      <c r="W635" s="5"/>
      <c r="X635" s="5"/>
      <c r="Y635" s="6"/>
      <c r="Z635" s="5"/>
    </row>
    <row r="636">
      <c r="E636" s="21"/>
      <c r="G636" s="13"/>
      <c r="I636" s="13"/>
      <c r="J636" s="17"/>
      <c r="K636" s="20"/>
      <c r="M636" s="13"/>
      <c r="N636" s="22"/>
      <c r="O636" s="13"/>
      <c r="R636" s="13"/>
      <c r="S636" s="22"/>
      <c r="U636" s="23"/>
      <c r="V636" s="5"/>
      <c r="W636" s="5"/>
      <c r="X636" s="5"/>
      <c r="Y636" s="6"/>
      <c r="Z636" s="5"/>
    </row>
    <row r="637">
      <c r="E637" s="21"/>
      <c r="G637" s="13"/>
      <c r="I637" s="13"/>
      <c r="J637" s="17"/>
      <c r="K637" s="20"/>
      <c r="M637" s="13"/>
      <c r="N637" s="22"/>
      <c r="O637" s="13"/>
      <c r="R637" s="13"/>
      <c r="S637" s="22"/>
      <c r="U637" s="23"/>
      <c r="V637" s="5"/>
      <c r="W637" s="5"/>
      <c r="X637" s="5"/>
      <c r="Y637" s="6"/>
      <c r="Z637" s="5"/>
    </row>
    <row r="638">
      <c r="E638" s="21"/>
      <c r="G638" s="13"/>
      <c r="I638" s="13"/>
      <c r="J638" s="17"/>
      <c r="K638" s="20"/>
      <c r="M638" s="13"/>
      <c r="N638" s="22"/>
      <c r="O638" s="13"/>
      <c r="R638" s="13"/>
      <c r="S638" s="22"/>
      <c r="U638" s="23"/>
      <c r="V638" s="5"/>
      <c r="W638" s="5"/>
      <c r="X638" s="5"/>
      <c r="Y638" s="6"/>
      <c r="Z638" s="5"/>
    </row>
    <row r="639">
      <c r="E639" s="21"/>
      <c r="G639" s="13"/>
      <c r="I639" s="13"/>
      <c r="J639" s="17"/>
      <c r="K639" s="20"/>
      <c r="M639" s="13"/>
      <c r="N639" s="22"/>
      <c r="O639" s="13"/>
      <c r="R639" s="13"/>
      <c r="S639" s="22"/>
      <c r="U639" s="23"/>
      <c r="V639" s="5"/>
      <c r="W639" s="5"/>
      <c r="X639" s="5"/>
      <c r="Y639" s="6"/>
      <c r="Z639" s="5"/>
    </row>
    <row r="640">
      <c r="E640" s="21"/>
      <c r="G640" s="13"/>
      <c r="I640" s="13"/>
      <c r="J640" s="17"/>
      <c r="K640" s="20"/>
      <c r="M640" s="13"/>
      <c r="N640" s="22"/>
      <c r="O640" s="13"/>
      <c r="R640" s="13"/>
      <c r="S640" s="22"/>
      <c r="U640" s="23"/>
      <c r="V640" s="5"/>
      <c r="W640" s="5"/>
      <c r="X640" s="5"/>
      <c r="Y640" s="6"/>
      <c r="Z640" s="5"/>
    </row>
    <row r="641">
      <c r="E641" s="21"/>
      <c r="G641" s="13"/>
      <c r="I641" s="13"/>
      <c r="J641" s="17"/>
      <c r="K641" s="20"/>
      <c r="M641" s="13"/>
      <c r="N641" s="22"/>
      <c r="O641" s="13"/>
      <c r="R641" s="13"/>
      <c r="S641" s="22"/>
      <c r="U641" s="23"/>
      <c r="V641" s="5"/>
      <c r="W641" s="5"/>
      <c r="X641" s="5"/>
      <c r="Y641" s="6"/>
      <c r="Z641" s="5"/>
    </row>
    <row r="642">
      <c r="E642" s="21"/>
      <c r="G642" s="13"/>
      <c r="I642" s="13"/>
      <c r="J642" s="17"/>
      <c r="K642" s="20"/>
      <c r="M642" s="13"/>
      <c r="N642" s="22"/>
      <c r="O642" s="13"/>
      <c r="R642" s="13"/>
      <c r="S642" s="22"/>
      <c r="U642" s="23"/>
      <c r="V642" s="5"/>
      <c r="W642" s="5"/>
      <c r="X642" s="5"/>
      <c r="Y642" s="6"/>
      <c r="Z642" s="5"/>
    </row>
    <row r="643">
      <c r="E643" s="21"/>
      <c r="G643" s="13"/>
      <c r="I643" s="13"/>
      <c r="J643" s="17"/>
      <c r="K643" s="20"/>
      <c r="M643" s="13"/>
      <c r="N643" s="22"/>
      <c r="O643" s="13"/>
      <c r="R643" s="13"/>
      <c r="S643" s="22"/>
      <c r="U643" s="23"/>
      <c r="V643" s="5"/>
      <c r="W643" s="5"/>
      <c r="X643" s="5"/>
      <c r="Y643" s="6"/>
      <c r="Z643" s="5"/>
    </row>
    <row r="644">
      <c r="E644" s="21"/>
      <c r="G644" s="13"/>
      <c r="I644" s="13"/>
      <c r="J644" s="17"/>
      <c r="K644" s="20"/>
      <c r="M644" s="13"/>
      <c r="N644" s="22"/>
      <c r="O644" s="13"/>
      <c r="R644" s="13"/>
      <c r="S644" s="22"/>
      <c r="U644" s="23"/>
      <c r="V644" s="5"/>
      <c r="W644" s="5"/>
      <c r="X644" s="5"/>
      <c r="Y644" s="6"/>
      <c r="Z644" s="5"/>
    </row>
    <row r="645">
      <c r="E645" s="21"/>
      <c r="G645" s="13"/>
      <c r="I645" s="13"/>
      <c r="J645" s="17"/>
      <c r="K645" s="20"/>
      <c r="M645" s="13"/>
      <c r="N645" s="22"/>
      <c r="O645" s="13"/>
      <c r="R645" s="13"/>
      <c r="S645" s="22"/>
      <c r="U645" s="23"/>
      <c r="V645" s="5"/>
      <c r="W645" s="5"/>
      <c r="X645" s="5"/>
      <c r="Y645" s="6"/>
      <c r="Z645" s="5"/>
    </row>
    <row r="646">
      <c r="E646" s="21"/>
      <c r="G646" s="13"/>
      <c r="I646" s="13"/>
      <c r="J646" s="17"/>
      <c r="K646" s="20"/>
      <c r="M646" s="13"/>
      <c r="N646" s="22"/>
      <c r="O646" s="13"/>
      <c r="R646" s="13"/>
      <c r="S646" s="22"/>
      <c r="U646" s="23"/>
      <c r="V646" s="5"/>
      <c r="W646" s="5"/>
      <c r="X646" s="5"/>
      <c r="Y646" s="6"/>
      <c r="Z646" s="5"/>
    </row>
    <row r="647">
      <c r="E647" s="21"/>
      <c r="G647" s="13"/>
      <c r="I647" s="13"/>
      <c r="J647" s="17"/>
      <c r="K647" s="20"/>
      <c r="M647" s="13"/>
      <c r="N647" s="22"/>
      <c r="O647" s="13"/>
      <c r="R647" s="13"/>
      <c r="S647" s="22"/>
      <c r="U647" s="23"/>
      <c r="V647" s="5"/>
      <c r="W647" s="5"/>
      <c r="X647" s="5"/>
      <c r="Y647" s="6"/>
      <c r="Z647" s="5"/>
    </row>
    <row r="648">
      <c r="E648" s="21"/>
      <c r="G648" s="13"/>
      <c r="I648" s="13"/>
      <c r="J648" s="17"/>
      <c r="K648" s="20"/>
      <c r="M648" s="13"/>
      <c r="N648" s="22"/>
      <c r="O648" s="13"/>
      <c r="R648" s="13"/>
      <c r="S648" s="22"/>
      <c r="U648" s="23"/>
      <c r="V648" s="5"/>
      <c r="W648" s="5"/>
      <c r="X648" s="5"/>
      <c r="Y648" s="6"/>
      <c r="Z648" s="5"/>
    </row>
    <row r="649">
      <c r="E649" s="21"/>
      <c r="G649" s="13"/>
      <c r="I649" s="13"/>
      <c r="J649" s="17"/>
      <c r="K649" s="20"/>
      <c r="M649" s="13"/>
      <c r="N649" s="22"/>
      <c r="O649" s="13"/>
      <c r="R649" s="13"/>
      <c r="S649" s="22"/>
      <c r="U649" s="23"/>
      <c r="V649" s="5"/>
      <c r="W649" s="5"/>
      <c r="X649" s="5"/>
      <c r="Y649" s="6"/>
      <c r="Z649" s="5"/>
    </row>
    <row r="650">
      <c r="E650" s="21"/>
      <c r="G650" s="13"/>
      <c r="I650" s="13"/>
      <c r="J650" s="17"/>
      <c r="K650" s="20"/>
      <c r="M650" s="13"/>
      <c r="N650" s="22"/>
      <c r="O650" s="13"/>
      <c r="R650" s="13"/>
      <c r="S650" s="22"/>
      <c r="U650" s="23"/>
      <c r="V650" s="5"/>
      <c r="W650" s="5"/>
      <c r="X650" s="5"/>
      <c r="Y650" s="6"/>
      <c r="Z650" s="5"/>
    </row>
    <row r="651">
      <c r="E651" s="21"/>
      <c r="G651" s="13"/>
      <c r="I651" s="13"/>
      <c r="J651" s="17"/>
      <c r="K651" s="20"/>
      <c r="M651" s="13"/>
      <c r="N651" s="22"/>
      <c r="O651" s="13"/>
      <c r="R651" s="13"/>
      <c r="S651" s="22"/>
      <c r="U651" s="23"/>
      <c r="V651" s="5"/>
      <c r="W651" s="5"/>
      <c r="X651" s="5"/>
      <c r="Y651" s="6"/>
      <c r="Z651" s="5"/>
    </row>
    <row r="652">
      <c r="E652" s="21"/>
      <c r="G652" s="13"/>
      <c r="I652" s="13"/>
      <c r="J652" s="17"/>
      <c r="K652" s="20"/>
      <c r="M652" s="13"/>
      <c r="N652" s="22"/>
      <c r="O652" s="13"/>
      <c r="R652" s="13"/>
      <c r="S652" s="22"/>
      <c r="U652" s="23"/>
      <c r="V652" s="5"/>
      <c r="W652" s="5"/>
      <c r="X652" s="5"/>
      <c r="Y652" s="6"/>
      <c r="Z652" s="5"/>
    </row>
    <row r="653">
      <c r="E653" s="21"/>
      <c r="G653" s="13"/>
      <c r="I653" s="13"/>
      <c r="J653" s="17"/>
      <c r="K653" s="20"/>
      <c r="M653" s="13"/>
      <c r="N653" s="22"/>
      <c r="O653" s="13"/>
      <c r="R653" s="13"/>
      <c r="S653" s="22"/>
      <c r="U653" s="23"/>
      <c r="V653" s="5"/>
      <c r="W653" s="5"/>
      <c r="X653" s="5"/>
      <c r="Y653" s="6"/>
      <c r="Z653" s="5"/>
    </row>
    <row r="654">
      <c r="E654" s="21"/>
      <c r="G654" s="13"/>
      <c r="I654" s="13"/>
      <c r="J654" s="17"/>
      <c r="K654" s="20"/>
      <c r="M654" s="13"/>
      <c r="N654" s="22"/>
      <c r="O654" s="13"/>
      <c r="R654" s="13"/>
      <c r="S654" s="22"/>
      <c r="U654" s="23"/>
      <c r="V654" s="5"/>
      <c r="W654" s="5"/>
      <c r="X654" s="5"/>
      <c r="Y654" s="6"/>
      <c r="Z654" s="5"/>
    </row>
    <row r="655">
      <c r="E655" s="21"/>
      <c r="G655" s="13"/>
      <c r="I655" s="13"/>
      <c r="J655" s="17"/>
      <c r="K655" s="20"/>
      <c r="M655" s="13"/>
      <c r="N655" s="22"/>
      <c r="O655" s="13"/>
      <c r="R655" s="13"/>
      <c r="S655" s="22"/>
      <c r="U655" s="23"/>
      <c r="V655" s="5"/>
      <c r="W655" s="5"/>
      <c r="X655" s="5"/>
      <c r="Y655" s="6"/>
      <c r="Z655" s="5"/>
    </row>
    <row r="656">
      <c r="E656" s="21"/>
      <c r="G656" s="13"/>
      <c r="I656" s="13"/>
      <c r="J656" s="17"/>
      <c r="K656" s="20"/>
      <c r="M656" s="13"/>
      <c r="N656" s="22"/>
      <c r="O656" s="13"/>
      <c r="R656" s="13"/>
      <c r="S656" s="22"/>
      <c r="U656" s="23"/>
      <c r="V656" s="5"/>
      <c r="W656" s="5"/>
      <c r="X656" s="5"/>
      <c r="Y656" s="6"/>
      <c r="Z656" s="5"/>
    </row>
    <row r="657">
      <c r="E657" s="21"/>
      <c r="G657" s="13"/>
      <c r="I657" s="13"/>
      <c r="J657" s="17"/>
      <c r="K657" s="20"/>
      <c r="M657" s="13"/>
      <c r="N657" s="22"/>
      <c r="O657" s="13"/>
      <c r="R657" s="13"/>
      <c r="S657" s="22"/>
      <c r="U657" s="23"/>
      <c r="V657" s="5"/>
      <c r="W657" s="5"/>
      <c r="X657" s="5"/>
      <c r="Y657" s="6"/>
      <c r="Z657" s="5"/>
    </row>
    <row r="658">
      <c r="E658" s="21"/>
      <c r="G658" s="13"/>
      <c r="I658" s="13"/>
      <c r="J658" s="17"/>
      <c r="K658" s="20"/>
      <c r="M658" s="13"/>
      <c r="N658" s="22"/>
      <c r="O658" s="13"/>
      <c r="R658" s="13"/>
      <c r="S658" s="22"/>
      <c r="U658" s="23"/>
      <c r="V658" s="5"/>
      <c r="W658" s="5"/>
      <c r="X658" s="5"/>
      <c r="Y658" s="6"/>
      <c r="Z658" s="5"/>
    </row>
    <row r="659">
      <c r="E659" s="21"/>
      <c r="G659" s="13"/>
      <c r="I659" s="13"/>
      <c r="J659" s="17"/>
      <c r="K659" s="20"/>
      <c r="M659" s="13"/>
      <c r="N659" s="22"/>
      <c r="O659" s="13"/>
      <c r="R659" s="13"/>
      <c r="S659" s="22"/>
      <c r="U659" s="23"/>
      <c r="V659" s="5"/>
      <c r="W659" s="5"/>
      <c r="X659" s="5"/>
      <c r="Y659" s="6"/>
      <c r="Z659" s="5"/>
    </row>
    <row r="660">
      <c r="E660" s="21"/>
      <c r="G660" s="13"/>
      <c r="I660" s="13"/>
      <c r="J660" s="17"/>
      <c r="K660" s="20"/>
      <c r="M660" s="13"/>
      <c r="N660" s="22"/>
      <c r="O660" s="13"/>
      <c r="R660" s="13"/>
      <c r="S660" s="22"/>
      <c r="U660" s="23"/>
      <c r="V660" s="5"/>
      <c r="W660" s="5"/>
      <c r="X660" s="5"/>
      <c r="Y660" s="6"/>
      <c r="Z660" s="5"/>
    </row>
    <row r="661">
      <c r="E661" s="21"/>
      <c r="G661" s="13"/>
      <c r="I661" s="13"/>
      <c r="J661" s="17"/>
      <c r="K661" s="20"/>
      <c r="M661" s="13"/>
      <c r="N661" s="22"/>
      <c r="O661" s="13"/>
      <c r="R661" s="13"/>
      <c r="S661" s="22"/>
      <c r="U661" s="23"/>
      <c r="V661" s="5"/>
      <c r="W661" s="5"/>
      <c r="X661" s="5"/>
      <c r="Y661" s="6"/>
      <c r="Z661" s="5"/>
    </row>
    <row r="662">
      <c r="E662" s="21"/>
      <c r="G662" s="13"/>
      <c r="I662" s="13"/>
      <c r="J662" s="17"/>
      <c r="K662" s="20"/>
      <c r="M662" s="13"/>
      <c r="N662" s="22"/>
      <c r="O662" s="13"/>
      <c r="R662" s="13"/>
      <c r="S662" s="22"/>
      <c r="U662" s="23"/>
      <c r="V662" s="5"/>
      <c r="W662" s="5"/>
      <c r="X662" s="5"/>
      <c r="Y662" s="6"/>
      <c r="Z662" s="5"/>
    </row>
    <row r="663">
      <c r="E663" s="21"/>
      <c r="G663" s="13"/>
      <c r="I663" s="13"/>
      <c r="J663" s="17"/>
      <c r="K663" s="20"/>
      <c r="M663" s="13"/>
      <c r="N663" s="22"/>
      <c r="O663" s="13"/>
      <c r="R663" s="13"/>
      <c r="S663" s="22"/>
      <c r="U663" s="23"/>
      <c r="V663" s="5"/>
      <c r="W663" s="5"/>
      <c r="X663" s="5"/>
      <c r="Y663" s="6"/>
      <c r="Z663" s="5"/>
    </row>
    <row r="664">
      <c r="E664" s="21"/>
      <c r="G664" s="13"/>
      <c r="I664" s="13"/>
      <c r="J664" s="17"/>
      <c r="K664" s="20"/>
      <c r="M664" s="13"/>
      <c r="N664" s="22"/>
      <c r="O664" s="13"/>
      <c r="R664" s="13"/>
      <c r="S664" s="22"/>
      <c r="U664" s="23"/>
      <c r="V664" s="5"/>
      <c r="W664" s="5"/>
      <c r="X664" s="5"/>
      <c r="Y664" s="6"/>
      <c r="Z664" s="5"/>
    </row>
    <row r="665">
      <c r="E665" s="21"/>
      <c r="G665" s="13"/>
      <c r="I665" s="13"/>
      <c r="J665" s="17"/>
      <c r="K665" s="20"/>
      <c r="M665" s="13"/>
      <c r="N665" s="22"/>
      <c r="O665" s="13"/>
      <c r="R665" s="13"/>
      <c r="S665" s="22"/>
      <c r="U665" s="23"/>
      <c r="V665" s="5"/>
      <c r="W665" s="5"/>
      <c r="X665" s="5"/>
      <c r="Y665" s="6"/>
      <c r="Z665" s="5"/>
    </row>
    <row r="666">
      <c r="E666" s="21"/>
      <c r="G666" s="13"/>
      <c r="I666" s="13"/>
      <c r="J666" s="17"/>
      <c r="K666" s="20"/>
      <c r="M666" s="13"/>
      <c r="N666" s="22"/>
      <c r="O666" s="13"/>
      <c r="R666" s="13"/>
      <c r="S666" s="22"/>
      <c r="U666" s="23"/>
      <c r="V666" s="5"/>
      <c r="W666" s="5"/>
      <c r="X666" s="5"/>
      <c r="Y666" s="6"/>
      <c r="Z666" s="5"/>
    </row>
    <row r="667">
      <c r="E667" s="21"/>
      <c r="G667" s="13"/>
      <c r="I667" s="13"/>
      <c r="J667" s="17"/>
      <c r="K667" s="20"/>
      <c r="M667" s="13"/>
      <c r="N667" s="22"/>
      <c r="O667" s="13"/>
      <c r="R667" s="13"/>
      <c r="S667" s="22"/>
      <c r="U667" s="23"/>
      <c r="V667" s="5"/>
      <c r="W667" s="5"/>
      <c r="X667" s="5"/>
      <c r="Y667" s="6"/>
      <c r="Z667" s="5"/>
    </row>
    <row r="668">
      <c r="E668" s="21"/>
      <c r="G668" s="13"/>
      <c r="I668" s="13"/>
      <c r="J668" s="17"/>
      <c r="K668" s="20"/>
      <c r="M668" s="13"/>
      <c r="N668" s="22"/>
      <c r="O668" s="13"/>
      <c r="R668" s="13"/>
      <c r="S668" s="22"/>
      <c r="U668" s="23"/>
      <c r="V668" s="5"/>
      <c r="W668" s="5"/>
      <c r="X668" s="5"/>
      <c r="Y668" s="6"/>
      <c r="Z668" s="5"/>
    </row>
    <row r="669">
      <c r="E669" s="21"/>
      <c r="G669" s="13"/>
      <c r="I669" s="13"/>
      <c r="J669" s="17"/>
      <c r="K669" s="20"/>
      <c r="M669" s="13"/>
      <c r="N669" s="22"/>
      <c r="O669" s="13"/>
      <c r="R669" s="13"/>
      <c r="S669" s="22"/>
      <c r="U669" s="23"/>
      <c r="V669" s="5"/>
      <c r="W669" s="5"/>
      <c r="X669" s="5"/>
      <c r="Y669" s="6"/>
      <c r="Z669" s="5"/>
    </row>
    <row r="670">
      <c r="E670" s="21"/>
      <c r="G670" s="13"/>
      <c r="I670" s="13"/>
      <c r="J670" s="17"/>
      <c r="K670" s="20"/>
      <c r="M670" s="13"/>
      <c r="N670" s="22"/>
      <c r="O670" s="13"/>
      <c r="R670" s="13"/>
      <c r="S670" s="22"/>
      <c r="U670" s="23"/>
      <c r="V670" s="5"/>
      <c r="W670" s="5"/>
      <c r="X670" s="5"/>
      <c r="Y670" s="6"/>
      <c r="Z670" s="5"/>
    </row>
    <row r="671">
      <c r="E671" s="21"/>
      <c r="G671" s="13"/>
      <c r="I671" s="13"/>
      <c r="J671" s="17"/>
      <c r="K671" s="20"/>
      <c r="M671" s="13"/>
      <c r="N671" s="22"/>
      <c r="O671" s="13"/>
      <c r="R671" s="13"/>
      <c r="S671" s="22"/>
      <c r="U671" s="23"/>
      <c r="V671" s="5"/>
      <c r="W671" s="5"/>
      <c r="X671" s="5"/>
      <c r="Y671" s="6"/>
      <c r="Z671" s="5"/>
    </row>
    <row r="672">
      <c r="E672" s="21"/>
      <c r="G672" s="13"/>
      <c r="I672" s="13"/>
      <c r="J672" s="17"/>
      <c r="K672" s="20"/>
      <c r="M672" s="13"/>
      <c r="N672" s="22"/>
      <c r="O672" s="13"/>
      <c r="R672" s="13"/>
      <c r="S672" s="22"/>
      <c r="U672" s="23"/>
      <c r="V672" s="5"/>
      <c r="W672" s="5"/>
      <c r="X672" s="5"/>
      <c r="Y672" s="6"/>
      <c r="Z672" s="5"/>
    </row>
    <row r="673">
      <c r="E673" s="21"/>
      <c r="G673" s="13"/>
      <c r="I673" s="13"/>
      <c r="J673" s="17"/>
      <c r="K673" s="20"/>
      <c r="M673" s="13"/>
      <c r="N673" s="22"/>
      <c r="O673" s="13"/>
      <c r="R673" s="13"/>
      <c r="S673" s="22"/>
      <c r="U673" s="23"/>
      <c r="V673" s="5"/>
      <c r="W673" s="5"/>
      <c r="X673" s="5"/>
      <c r="Y673" s="6"/>
      <c r="Z673" s="5"/>
    </row>
    <row r="674">
      <c r="E674" s="21"/>
      <c r="G674" s="13"/>
      <c r="I674" s="13"/>
      <c r="J674" s="17"/>
      <c r="K674" s="20"/>
      <c r="M674" s="13"/>
      <c r="N674" s="22"/>
      <c r="O674" s="13"/>
      <c r="R674" s="13"/>
      <c r="S674" s="22"/>
      <c r="U674" s="23"/>
      <c r="V674" s="5"/>
      <c r="W674" s="5"/>
      <c r="X674" s="5"/>
      <c r="Y674" s="6"/>
      <c r="Z674" s="5"/>
    </row>
    <row r="675">
      <c r="E675" s="21"/>
      <c r="G675" s="13"/>
      <c r="I675" s="13"/>
      <c r="J675" s="17"/>
      <c r="K675" s="20"/>
      <c r="M675" s="13"/>
      <c r="N675" s="22"/>
      <c r="O675" s="13"/>
      <c r="R675" s="13"/>
      <c r="S675" s="22"/>
      <c r="U675" s="23"/>
      <c r="V675" s="5"/>
      <c r="W675" s="5"/>
      <c r="X675" s="5"/>
      <c r="Y675" s="6"/>
      <c r="Z675" s="5"/>
    </row>
    <row r="676">
      <c r="E676" s="21"/>
      <c r="G676" s="13"/>
      <c r="I676" s="13"/>
      <c r="J676" s="17"/>
      <c r="K676" s="20"/>
      <c r="M676" s="13"/>
      <c r="N676" s="22"/>
      <c r="O676" s="13"/>
      <c r="R676" s="13"/>
      <c r="S676" s="22"/>
      <c r="U676" s="23"/>
      <c r="V676" s="5"/>
      <c r="W676" s="5"/>
      <c r="X676" s="5"/>
      <c r="Y676" s="6"/>
      <c r="Z676" s="5"/>
    </row>
    <row r="677">
      <c r="E677" s="21"/>
      <c r="G677" s="13"/>
      <c r="I677" s="13"/>
      <c r="J677" s="17"/>
      <c r="K677" s="20"/>
      <c r="M677" s="13"/>
      <c r="N677" s="22"/>
      <c r="O677" s="13"/>
      <c r="R677" s="13"/>
      <c r="S677" s="22"/>
      <c r="U677" s="23"/>
      <c r="V677" s="5"/>
      <c r="W677" s="5"/>
      <c r="X677" s="5"/>
      <c r="Y677" s="6"/>
      <c r="Z677" s="5"/>
    </row>
    <row r="678">
      <c r="E678" s="21"/>
      <c r="G678" s="13"/>
      <c r="I678" s="13"/>
      <c r="J678" s="17"/>
      <c r="K678" s="20"/>
      <c r="M678" s="13"/>
      <c r="N678" s="22"/>
      <c r="O678" s="13"/>
      <c r="R678" s="13"/>
      <c r="S678" s="22"/>
      <c r="U678" s="23"/>
      <c r="V678" s="5"/>
      <c r="W678" s="5"/>
      <c r="X678" s="5"/>
      <c r="Y678" s="6"/>
      <c r="Z678" s="5"/>
    </row>
    <row r="679">
      <c r="E679" s="21"/>
      <c r="G679" s="13"/>
      <c r="I679" s="13"/>
      <c r="J679" s="17"/>
      <c r="K679" s="20"/>
      <c r="M679" s="13"/>
      <c r="N679" s="22"/>
      <c r="O679" s="13"/>
      <c r="R679" s="13"/>
      <c r="S679" s="22"/>
      <c r="U679" s="23"/>
      <c r="V679" s="5"/>
      <c r="W679" s="5"/>
      <c r="X679" s="5"/>
      <c r="Y679" s="6"/>
      <c r="Z679" s="5"/>
    </row>
    <row r="680">
      <c r="E680" s="21"/>
      <c r="G680" s="13"/>
      <c r="I680" s="13"/>
      <c r="J680" s="17"/>
      <c r="K680" s="20"/>
      <c r="M680" s="13"/>
      <c r="N680" s="22"/>
      <c r="O680" s="13"/>
      <c r="R680" s="13"/>
      <c r="S680" s="22"/>
      <c r="U680" s="23"/>
      <c r="V680" s="5"/>
      <c r="W680" s="5"/>
      <c r="X680" s="5"/>
      <c r="Y680" s="6"/>
      <c r="Z680" s="5"/>
    </row>
    <row r="681">
      <c r="E681" s="21"/>
      <c r="G681" s="13"/>
      <c r="I681" s="13"/>
      <c r="J681" s="17"/>
      <c r="K681" s="20"/>
      <c r="M681" s="13"/>
      <c r="N681" s="22"/>
      <c r="O681" s="13"/>
      <c r="R681" s="13"/>
      <c r="S681" s="22"/>
      <c r="U681" s="23"/>
      <c r="V681" s="5"/>
      <c r="W681" s="5"/>
      <c r="X681" s="5"/>
      <c r="Y681" s="6"/>
      <c r="Z681" s="5"/>
    </row>
    <row r="682">
      <c r="E682" s="21"/>
      <c r="G682" s="13"/>
      <c r="I682" s="13"/>
      <c r="J682" s="17"/>
      <c r="K682" s="20"/>
      <c r="M682" s="13"/>
      <c r="N682" s="22"/>
      <c r="O682" s="13"/>
      <c r="R682" s="13"/>
      <c r="S682" s="22"/>
      <c r="U682" s="23"/>
      <c r="V682" s="5"/>
      <c r="W682" s="5"/>
      <c r="X682" s="5"/>
      <c r="Y682" s="6"/>
      <c r="Z682" s="5"/>
    </row>
    <row r="683">
      <c r="E683" s="21"/>
      <c r="G683" s="13"/>
      <c r="I683" s="13"/>
      <c r="J683" s="17"/>
      <c r="K683" s="20"/>
      <c r="M683" s="13"/>
      <c r="N683" s="22"/>
      <c r="O683" s="13"/>
      <c r="R683" s="13"/>
      <c r="S683" s="22"/>
      <c r="U683" s="23"/>
      <c r="V683" s="5"/>
      <c r="W683" s="5"/>
      <c r="X683" s="5"/>
      <c r="Y683" s="6"/>
      <c r="Z683" s="5"/>
    </row>
    <row r="684">
      <c r="E684" s="21"/>
      <c r="G684" s="13"/>
      <c r="I684" s="13"/>
      <c r="J684" s="17"/>
      <c r="K684" s="20"/>
      <c r="M684" s="13"/>
      <c r="N684" s="22"/>
      <c r="O684" s="13"/>
      <c r="R684" s="13"/>
      <c r="S684" s="22"/>
      <c r="U684" s="23"/>
      <c r="V684" s="5"/>
      <c r="W684" s="5"/>
      <c r="X684" s="5"/>
      <c r="Y684" s="6"/>
      <c r="Z684" s="5"/>
    </row>
    <row r="685">
      <c r="E685" s="21"/>
      <c r="G685" s="13"/>
      <c r="I685" s="13"/>
      <c r="J685" s="17"/>
      <c r="K685" s="20"/>
      <c r="M685" s="13"/>
      <c r="N685" s="22"/>
      <c r="O685" s="13"/>
      <c r="R685" s="13"/>
      <c r="S685" s="22"/>
      <c r="U685" s="23"/>
      <c r="V685" s="5"/>
      <c r="W685" s="5"/>
      <c r="X685" s="5"/>
      <c r="Y685" s="6"/>
      <c r="Z685" s="5"/>
    </row>
    <row r="686">
      <c r="E686" s="21"/>
      <c r="G686" s="13"/>
      <c r="I686" s="13"/>
      <c r="J686" s="17"/>
      <c r="K686" s="20"/>
      <c r="M686" s="13"/>
      <c r="N686" s="22"/>
      <c r="O686" s="13"/>
      <c r="R686" s="13"/>
      <c r="S686" s="22"/>
      <c r="U686" s="23"/>
      <c r="V686" s="5"/>
      <c r="W686" s="5"/>
      <c r="X686" s="5"/>
      <c r="Y686" s="6"/>
      <c r="Z686" s="5"/>
    </row>
    <row r="687">
      <c r="E687" s="21"/>
      <c r="G687" s="13"/>
      <c r="I687" s="13"/>
      <c r="J687" s="17"/>
      <c r="K687" s="20"/>
      <c r="M687" s="13"/>
      <c r="N687" s="22"/>
      <c r="O687" s="13"/>
      <c r="R687" s="13"/>
      <c r="S687" s="22"/>
      <c r="U687" s="23"/>
      <c r="V687" s="5"/>
      <c r="W687" s="5"/>
      <c r="X687" s="5"/>
      <c r="Y687" s="6"/>
      <c r="Z687" s="5"/>
    </row>
    <row r="688">
      <c r="E688" s="21"/>
      <c r="G688" s="13"/>
      <c r="I688" s="13"/>
      <c r="J688" s="17"/>
      <c r="K688" s="20"/>
      <c r="M688" s="13"/>
      <c r="N688" s="22"/>
      <c r="O688" s="13"/>
      <c r="R688" s="13"/>
      <c r="S688" s="22"/>
      <c r="U688" s="23"/>
      <c r="V688" s="5"/>
      <c r="W688" s="5"/>
      <c r="X688" s="5"/>
      <c r="Y688" s="6"/>
      <c r="Z688" s="5"/>
    </row>
    <row r="689">
      <c r="E689" s="21"/>
      <c r="G689" s="13"/>
      <c r="I689" s="13"/>
      <c r="J689" s="17"/>
      <c r="K689" s="20"/>
      <c r="M689" s="13"/>
      <c r="N689" s="22"/>
      <c r="O689" s="13"/>
      <c r="R689" s="13"/>
      <c r="S689" s="22"/>
      <c r="U689" s="23"/>
      <c r="V689" s="5"/>
      <c r="W689" s="5"/>
      <c r="X689" s="5"/>
      <c r="Y689" s="6"/>
      <c r="Z689" s="5"/>
    </row>
    <row r="690">
      <c r="E690" s="21"/>
      <c r="G690" s="13"/>
      <c r="I690" s="13"/>
      <c r="J690" s="17"/>
      <c r="K690" s="20"/>
      <c r="M690" s="13"/>
      <c r="N690" s="22"/>
      <c r="O690" s="13"/>
      <c r="R690" s="13"/>
      <c r="S690" s="22"/>
      <c r="U690" s="23"/>
      <c r="V690" s="5"/>
      <c r="W690" s="5"/>
      <c r="X690" s="5"/>
      <c r="Y690" s="6"/>
      <c r="Z690" s="5"/>
    </row>
    <row r="691">
      <c r="E691" s="21"/>
      <c r="G691" s="13"/>
      <c r="I691" s="13"/>
      <c r="J691" s="17"/>
      <c r="K691" s="20"/>
      <c r="M691" s="13"/>
      <c r="N691" s="22"/>
      <c r="O691" s="13"/>
      <c r="R691" s="13"/>
      <c r="S691" s="22"/>
      <c r="U691" s="23"/>
      <c r="V691" s="5"/>
      <c r="W691" s="5"/>
      <c r="X691" s="5"/>
      <c r="Y691" s="6"/>
      <c r="Z691" s="5"/>
    </row>
    <row r="692">
      <c r="E692" s="21"/>
      <c r="G692" s="13"/>
      <c r="I692" s="13"/>
      <c r="J692" s="17"/>
      <c r="K692" s="20"/>
      <c r="M692" s="13"/>
      <c r="N692" s="22"/>
      <c r="O692" s="13"/>
      <c r="R692" s="13"/>
      <c r="S692" s="22"/>
      <c r="U692" s="23"/>
      <c r="V692" s="5"/>
      <c r="W692" s="5"/>
      <c r="X692" s="5"/>
      <c r="Y692" s="6"/>
      <c r="Z692" s="5"/>
    </row>
    <row r="693">
      <c r="E693" s="21"/>
      <c r="G693" s="13"/>
      <c r="I693" s="13"/>
      <c r="J693" s="17"/>
      <c r="K693" s="20"/>
      <c r="M693" s="13"/>
      <c r="N693" s="22"/>
      <c r="O693" s="13"/>
      <c r="R693" s="13"/>
      <c r="S693" s="22"/>
      <c r="U693" s="23"/>
      <c r="V693" s="5"/>
      <c r="W693" s="5"/>
      <c r="X693" s="5"/>
      <c r="Y693" s="6"/>
      <c r="Z693" s="5"/>
    </row>
    <row r="694">
      <c r="E694" s="21"/>
      <c r="G694" s="13"/>
      <c r="I694" s="13"/>
      <c r="J694" s="17"/>
      <c r="K694" s="20"/>
      <c r="M694" s="13"/>
      <c r="N694" s="22"/>
      <c r="O694" s="13"/>
      <c r="R694" s="13"/>
      <c r="S694" s="22"/>
      <c r="U694" s="23"/>
      <c r="V694" s="5"/>
      <c r="W694" s="5"/>
      <c r="X694" s="5"/>
      <c r="Y694" s="6"/>
      <c r="Z694" s="5"/>
    </row>
    <row r="695">
      <c r="E695" s="21"/>
      <c r="G695" s="13"/>
      <c r="I695" s="13"/>
      <c r="J695" s="17"/>
      <c r="K695" s="20"/>
      <c r="M695" s="13"/>
      <c r="N695" s="22"/>
      <c r="O695" s="13"/>
      <c r="R695" s="13"/>
      <c r="S695" s="22"/>
      <c r="U695" s="23"/>
      <c r="V695" s="5"/>
      <c r="W695" s="5"/>
      <c r="X695" s="5"/>
      <c r="Y695" s="6"/>
      <c r="Z695" s="5"/>
    </row>
    <row r="696">
      <c r="E696" s="21"/>
      <c r="G696" s="13"/>
      <c r="I696" s="13"/>
      <c r="J696" s="17"/>
      <c r="K696" s="20"/>
      <c r="M696" s="13"/>
      <c r="N696" s="22"/>
      <c r="O696" s="13"/>
      <c r="R696" s="13"/>
      <c r="S696" s="22"/>
      <c r="U696" s="23"/>
      <c r="V696" s="5"/>
      <c r="W696" s="5"/>
      <c r="X696" s="5"/>
      <c r="Y696" s="6"/>
      <c r="Z696" s="5"/>
    </row>
    <row r="697">
      <c r="E697" s="21"/>
      <c r="G697" s="13"/>
      <c r="I697" s="13"/>
      <c r="J697" s="17"/>
      <c r="K697" s="20"/>
      <c r="M697" s="13"/>
      <c r="N697" s="22"/>
      <c r="O697" s="13"/>
      <c r="R697" s="13"/>
      <c r="S697" s="22"/>
      <c r="U697" s="23"/>
      <c r="V697" s="5"/>
      <c r="W697" s="5"/>
      <c r="X697" s="5"/>
      <c r="Y697" s="6"/>
      <c r="Z697" s="5"/>
    </row>
    <row r="698">
      <c r="E698" s="21"/>
      <c r="G698" s="13"/>
      <c r="I698" s="13"/>
      <c r="J698" s="17"/>
      <c r="K698" s="20"/>
      <c r="M698" s="13"/>
      <c r="N698" s="22"/>
      <c r="O698" s="13"/>
      <c r="R698" s="13"/>
      <c r="S698" s="22"/>
      <c r="U698" s="23"/>
      <c r="V698" s="5"/>
      <c r="W698" s="5"/>
      <c r="X698" s="5"/>
      <c r="Y698" s="6"/>
      <c r="Z698" s="5"/>
    </row>
    <row r="699">
      <c r="E699" s="21"/>
      <c r="G699" s="13"/>
      <c r="I699" s="13"/>
      <c r="J699" s="17"/>
      <c r="K699" s="20"/>
      <c r="M699" s="13"/>
      <c r="N699" s="22"/>
      <c r="O699" s="13"/>
      <c r="R699" s="13"/>
      <c r="S699" s="22"/>
      <c r="U699" s="23"/>
      <c r="V699" s="5"/>
      <c r="W699" s="5"/>
      <c r="X699" s="5"/>
      <c r="Y699" s="6"/>
      <c r="Z699" s="5"/>
    </row>
    <row r="700">
      <c r="E700" s="21"/>
      <c r="G700" s="13"/>
      <c r="I700" s="13"/>
      <c r="J700" s="17"/>
      <c r="K700" s="20"/>
      <c r="M700" s="13"/>
      <c r="N700" s="22"/>
      <c r="O700" s="13"/>
      <c r="R700" s="13"/>
      <c r="S700" s="22"/>
      <c r="U700" s="23"/>
      <c r="V700" s="5"/>
      <c r="W700" s="5"/>
      <c r="X700" s="5"/>
      <c r="Y700" s="6"/>
      <c r="Z700" s="5"/>
    </row>
    <row r="701">
      <c r="E701" s="21"/>
      <c r="G701" s="13"/>
      <c r="I701" s="13"/>
      <c r="J701" s="17"/>
      <c r="K701" s="20"/>
      <c r="M701" s="13"/>
      <c r="N701" s="22"/>
      <c r="O701" s="13"/>
      <c r="R701" s="13"/>
      <c r="S701" s="22"/>
      <c r="U701" s="23"/>
      <c r="V701" s="5"/>
      <c r="W701" s="5"/>
      <c r="X701" s="5"/>
      <c r="Y701" s="6"/>
      <c r="Z701" s="5"/>
    </row>
    <row r="702">
      <c r="E702" s="21"/>
      <c r="G702" s="13"/>
      <c r="I702" s="13"/>
      <c r="J702" s="17"/>
      <c r="K702" s="20"/>
      <c r="M702" s="13"/>
      <c r="N702" s="22"/>
      <c r="O702" s="13"/>
      <c r="R702" s="13"/>
      <c r="S702" s="22"/>
      <c r="U702" s="23"/>
      <c r="V702" s="5"/>
      <c r="W702" s="5"/>
      <c r="X702" s="5"/>
      <c r="Y702" s="6"/>
      <c r="Z702" s="5"/>
    </row>
    <row r="703">
      <c r="E703" s="21"/>
      <c r="G703" s="13"/>
      <c r="I703" s="13"/>
      <c r="J703" s="17"/>
      <c r="K703" s="20"/>
      <c r="M703" s="13"/>
      <c r="N703" s="22"/>
      <c r="O703" s="13"/>
      <c r="R703" s="13"/>
      <c r="S703" s="22"/>
      <c r="U703" s="23"/>
      <c r="V703" s="5"/>
      <c r="W703" s="5"/>
      <c r="X703" s="5"/>
      <c r="Y703" s="6"/>
      <c r="Z703" s="5"/>
    </row>
    <row r="704">
      <c r="E704" s="21"/>
      <c r="G704" s="13"/>
      <c r="I704" s="13"/>
      <c r="J704" s="17"/>
      <c r="K704" s="20"/>
      <c r="M704" s="13"/>
      <c r="N704" s="22"/>
      <c r="O704" s="13"/>
      <c r="R704" s="13"/>
      <c r="S704" s="22"/>
      <c r="U704" s="23"/>
      <c r="V704" s="5"/>
      <c r="W704" s="5"/>
      <c r="X704" s="5"/>
      <c r="Y704" s="6"/>
      <c r="Z704" s="5"/>
    </row>
    <row r="705">
      <c r="E705" s="21"/>
      <c r="G705" s="13"/>
      <c r="I705" s="13"/>
      <c r="J705" s="17"/>
      <c r="K705" s="20"/>
      <c r="M705" s="13"/>
      <c r="N705" s="22"/>
      <c r="O705" s="13"/>
      <c r="R705" s="13"/>
      <c r="S705" s="22"/>
      <c r="U705" s="23"/>
      <c r="V705" s="5"/>
      <c r="W705" s="5"/>
      <c r="X705" s="5"/>
      <c r="Y705" s="6"/>
      <c r="Z705" s="5"/>
    </row>
    <row r="706">
      <c r="E706" s="21"/>
      <c r="G706" s="13"/>
      <c r="I706" s="13"/>
      <c r="J706" s="17"/>
      <c r="K706" s="20"/>
      <c r="M706" s="13"/>
      <c r="N706" s="22"/>
      <c r="O706" s="13"/>
      <c r="R706" s="13"/>
      <c r="S706" s="22"/>
      <c r="U706" s="23"/>
      <c r="V706" s="5"/>
      <c r="W706" s="5"/>
      <c r="X706" s="5"/>
      <c r="Y706" s="6"/>
      <c r="Z706" s="5"/>
    </row>
    <row r="707">
      <c r="E707" s="21"/>
      <c r="G707" s="13"/>
      <c r="I707" s="13"/>
      <c r="J707" s="17"/>
      <c r="K707" s="20"/>
      <c r="M707" s="13"/>
      <c r="N707" s="22"/>
      <c r="O707" s="13"/>
      <c r="R707" s="13"/>
      <c r="S707" s="22"/>
      <c r="U707" s="23"/>
      <c r="V707" s="5"/>
      <c r="W707" s="5"/>
      <c r="X707" s="5"/>
      <c r="Y707" s="6"/>
      <c r="Z707" s="5"/>
    </row>
    <row r="708">
      <c r="E708" s="21"/>
      <c r="G708" s="13"/>
      <c r="I708" s="13"/>
      <c r="J708" s="17"/>
      <c r="K708" s="20"/>
      <c r="M708" s="13"/>
      <c r="N708" s="22"/>
      <c r="O708" s="13"/>
      <c r="R708" s="13"/>
      <c r="S708" s="22"/>
      <c r="U708" s="23"/>
      <c r="V708" s="5"/>
      <c r="W708" s="5"/>
      <c r="X708" s="5"/>
      <c r="Y708" s="6"/>
      <c r="Z708" s="5"/>
    </row>
    <row r="709">
      <c r="E709" s="21"/>
      <c r="G709" s="13"/>
      <c r="I709" s="13"/>
      <c r="J709" s="17"/>
      <c r="K709" s="20"/>
      <c r="M709" s="13"/>
      <c r="N709" s="22"/>
      <c r="O709" s="13"/>
      <c r="R709" s="13"/>
      <c r="S709" s="22"/>
      <c r="U709" s="23"/>
      <c r="V709" s="5"/>
      <c r="W709" s="5"/>
      <c r="X709" s="5"/>
      <c r="Y709" s="6"/>
      <c r="Z709" s="5"/>
    </row>
    <row r="710">
      <c r="E710" s="21"/>
      <c r="G710" s="13"/>
      <c r="I710" s="13"/>
      <c r="J710" s="17"/>
      <c r="K710" s="20"/>
      <c r="M710" s="13"/>
      <c r="N710" s="22"/>
      <c r="O710" s="13"/>
      <c r="R710" s="13"/>
      <c r="S710" s="22"/>
      <c r="U710" s="23"/>
      <c r="V710" s="5"/>
      <c r="W710" s="5"/>
      <c r="X710" s="5"/>
      <c r="Y710" s="6"/>
      <c r="Z710" s="5"/>
    </row>
    <row r="711">
      <c r="E711" s="21"/>
      <c r="G711" s="13"/>
      <c r="I711" s="13"/>
      <c r="J711" s="17"/>
      <c r="K711" s="20"/>
      <c r="M711" s="13"/>
      <c r="N711" s="22"/>
      <c r="O711" s="13"/>
      <c r="R711" s="13"/>
      <c r="S711" s="22"/>
      <c r="U711" s="23"/>
      <c r="V711" s="5"/>
      <c r="W711" s="5"/>
      <c r="X711" s="5"/>
      <c r="Y711" s="6"/>
      <c r="Z711" s="5"/>
    </row>
    <row r="712">
      <c r="E712" s="21"/>
      <c r="G712" s="13"/>
      <c r="I712" s="13"/>
      <c r="J712" s="17"/>
      <c r="K712" s="20"/>
      <c r="M712" s="13"/>
      <c r="N712" s="22"/>
      <c r="O712" s="13"/>
      <c r="R712" s="13"/>
      <c r="S712" s="22"/>
      <c r="U712" s="23"/>
      <c r="V712" s="5"/>
      <c r="W712" s="5"/>
      <c r="X712" s="5"/>
      <c r="Y712" s="6"/>
      <c r="Z712" s="5"/>
    </row>
    <row r="713">
      <c r="E713" s="21"/>
      <c r="G713" s="13"/>
      <c r="I713" s="13"/>
      <c r="J713" s="17"/>
      <c r="K713" s="20"/>
      <c r="M713" s="13"/>
      <c r="N713" s="22"/>
      <c r="O713" s="13"/>
      <c r="R713" s="13"/>
      <c r="S713" s="22"/>
      <c r="U713" s="23"/>
      <c r="V713" s="5"/>
      <c r="W713" s="5"/>
      <c r="X713" s="5"/>
      <c r="Y713" s="6"/>
      <c r="Z713" s="5"/>
    </row>
    <row r="714">
      <c r="E714" s="21"/>
      <c r="G714" s="13"/>
      <c r="I714" s="13"/>
      <c r="J714" s="17"/>
      <c r="K714" s="20"/>
      <c r="M714" s="13"/>
      <c r="N714" s="22"/>
      <c r="O714" s="13"/>
      <c r="R714" s="13"/>
      <c r="S714" s="22"/>
      <c r="U714" s="23"/>
      <c r="V714" s="5"/>
      <c r="W714" s="5"/>
      <c r="X714" s="5"/>
      <c r="Y714" s="6"/>
      <c r="Z714" s="5"/>
    </row>
    <row r="715">
      <c r="E715" s="21"/>
      <c r="G715" s="13"/>
      <c r="I715" s="13"/>
      <c r="J715" s="17"/>
      <c r="K715" s="20"/>
      <c r="M715" s="13"/>
      <c r="N715" s="22"/>
      <c r="O715" s="13"/>
      <c r="R715" s="13"/>
      <c r="S715" s="22"/>
      <c r="U715" s="23"/>
      <c r="V715" s="5"/>
      <c r="W715" s="5"/>
      <c r="X715" s="5"/>
      <c r="Y715" s="6"/>
      <c r="Z715" s="5"/>
    </row>
    <row r="716">
      <c r="E716" s="21"/>
      <c r="G716" s="13"/>
      <c r="I716" s="13"/>
      <c r="J716" s="17"/>
      <c r="K716" s="20"/>
      <c r="M716" s="13"/>
      <c r="N716" s="22"/>
      <c r="O716" s="13"/>
      <c r="R716" s="13"/>
      <c r="S716" s="22"/>
      <c r="U716" s="23"/>
      <c r="V716" s="5"/>
      <c r="W716" s="5"/>
      <c r="X716" s="5"/>
      <c r="Y716" s="6"/>
      <c r="Z716" s="5"/>
    </row>
    <row r="717">
      <c r="E717" s="21"/>
      <c r="G717" s="13"/>
      <c r="I717" s="13"/>
      <c r="J717" s="17"/>
      <c r="K717" s="20"/>
      <c r="M717" s="13"/>
      <c r="N717" s="22"/>
      <c r="O717" s="13"/>
      <c r="R717" s="13"/>
      <c r="S717" s="22"/>
      <c r="U717" s="23"/>
      <c r="V717" s="5"/>
      <c r="W717" s="5"/>
      <c r="X717" s="5"/>
      <c r="Y717" s="6"/>
      <c r="Z717" s="5"/>
    </row>
    <row r="718">
      <c r="E718" s="21"/>
      <c r="G718" s="13"/>
      <c r="I718" s="13"/>
      <c r="J718" s="17"/>
      <c r="K718" s="20"/>
      <c r="M718" s="13"/>
      <c r="N718" s="22"/>
      <c r="O718" s="13"/>
      <c r="R718" s="13"/>
      <c r="S718" s="22"/>
      <c r="U718" s="23"/>
      <c r="V718" s="5"/>
      <c r="W718" s="5"/>
      <c r="X718" s="5"/>
      <c r="Y718" s="6"/>
      <c r="Z718" s="5"/>
    </row>
    <row r="719">
      <c r="E719" s="21"/>
      <c r="G719" s="13"/>
      <c r="I719" s="13"/>
      <c r="J719" s="17"/>
      <c r="K719" s="20"/>
      <c r="M719" s="13"/>
      <c r="N719" s="22"/>
      <c r="O719" s="13"/>
      <c r="R719" s="13"/>
      <c r="S719" s="22"/>
      <c r="U719" s="23"/>
      <c r="V719" s="5"/>
      <c r="W719" s="5"/>
      <c r="X719" s="5"/>
      <c r="Y719" s="6"/>
      <c r="Z719" s="5"/>
    </row>
    <row r="720">
      <c r="E720" s="21"/>
      <c r="G720" s="13"/>
      <c r="I720" s="13"/>
      <c r="J720" s="17"/>
      <c r="K720" s="20"/>
      <c r="M720" s="13"/>
      <c r="N720" s="22"/>
      <c r="O720" s="13"/>
      <c r="R720" s="13"/>
      <c r="S720" s="22"/>
      <c r="U720" s="23"/>
      <c r="V720" s="5"/>
      <c r="W720" s="5"/>
      <c r="X720" s="5"/>
      <c r="Y720" s="6"/>
      <c r="Z720" s="5"/>
    </row>
    <row r="721">
      <c r="E721" s="21"/>
      <c r="G721" s="13"/>
      <c r="I721" s="13"/>
      <c r="J721" s="17"/>
      <c r="K721" s="20"/>
      <c r="M721" s="13"/>
      <c r="N721" s="22"/>
      <c r="O721" s="13"/>
      <c r="R721" s="13"/>
      <c r="S721" s="22"/>
      <c r="U721" s="23"/>
      <c r="V721" s="5"/>
      <c r="W721" s="5"/>
      <c r="X721" s="5"/>
      <c r="Y721" s="6"/>
      <c r="Z721" s="5"/>
    </row>
    <row r="722">
      <c r="E722" s="21"/>
      <c r="G722" s="13"/>
      <c r="I722" s="13"/>
      <c r="J722" s="17"/>
      <c r="K722" s="20"/>
      <c r="M722" s="13"/>
      <c r="N722" s="22"/>
      <c r="O722" s="13"/>
      <c r="R722" s="13"/>
      <c r="S722" s="22"/>
      <c r="U722" s="23"/>
      <c r="V722" s="5"/>
      <c r="W722" s="5"/>
      <c r="X722" s="5"/>
      <c r="Y722" s="6"/>
      <c r="Z722" s="5"/>
    </row>
    <row r="723">
      <c r="E723" s="21"/>
      <c r="G723" s="13"/>
      <c r="I723" s="13"/>
      <c r="J723" s="17"/>
      <c r="K723" s="20"/>
      <c r="M723" s="13"/>
      <c r="N723" s="22"/>
      <c r="O723" s="13"/>
      <c r="R723" s="13"/>
      <c r="S723" s="22"/>
      <c r="U723" s="23"/>
      <c r="V723" s="5"/>
      <c r="W723" s="5"/>
      <c r="X723" s="5"/>
      <c r="Y723" s="6"/>
      <c r="Z723" s="5"/>
    </row>
    <row r="724">
      <c r="E724" s="21"/>
      <c r="G724" s="13"/>
      <c r="I724" s="13"/>
      <c r="J724" s="17"/>
      <c r="K724" s="20"/>
      <c r="M724" s="13"/>
      <c r="N724" s="22"/>
      <c r="O724" s="13"/>
      <c r="R724" s="13"/>
      <c r="S724" s="22"/>
      <c r="U724" s="23"/>
      <c r="V724" s="5"/>
      <c r="W724" s="5"/>
      <c r="X724" s="5"/>
      <c r="Y724" s="6"/>
      <c r="Z724" s="5"/>
    </row>
    <row r="725">
      <c r="E725" s="21"/>
      <c r="G725" s="13"/>
      <c r="I725" s="13"/>
      <c r="J725" s="17"/>
      <c r="K725" s="20"/>
      <c r="M725" s="13"/>
      <c r="N725" s="22"/>
      <c r="O725" s="13"/>
      <c r="R725" s="13"/>
      <c r="S725" s="22"/>
      <c r="U725" s="23"/>
      <c r="V725" s="5"/>
      <c r="W725" s="5"/>
      <c r="X725" s="5"/>
      <c r="Y725" s="6"/>
      <c r="Z725" s="5"/>
    </row>
    <row r="726">
      <c r="E726" s="21"/>
      <c r="G726" s="13"/>
      <c r="I726" s="13"/>
      <c r="J726" s="17"/>
      <c r="K726" s="20"/>
      <c r="M726" s="13"/>
      <c r="N726" s="22"/>
      <c r="O726" s="13"/>
      <c r="R726" s="13"/>
      <c r="S726" s="22"/>
      <c r="U726" s="23"/>
      <c r="V726" s="5"/>
      <c r="W726" s="5"/>
      <c r="X726" s="5"/>
      <c r="Y726" s="6"/>
      <c r="Z726" s="5"/>
    </row>
    <row r="727">
      <c r="E727" s="21"/>
      <c r="G727" s="13"/>
      <c r="I727" s="13"/>
      <c r="J727" s="17"/>
      <c r="K727" s="20"/>
      <c r="M727" s="13"/>
      <c r="N727" s="22"/>
      <c r="O727" s="13"/>
      <c r="R727" s="13"/>
      <c r="S727" s="22"/>
      <c r="U727" s="23"/>
      <c r="V727" s="5"/>
      <c r="W727" s="5"/>
      <c r="X727" s="5"/>
      <c r="Y727" s="6"/>
      <c r="Z727" s="5"/>
    </row>
    <row r="728">
      <c r="E728" s="21"/>
      <c r="G728" s="13"/>
      <c r="I728" s="13"/>
      <c r="J728" s="17"/>
      <c r="K728" s="20"/>
      <c r="M728" s="13"/>
      <c r="N728" s="22"/>
      <c r="O728" s="13"/>
      <c r="R728" s="13"/>
      <c r="S728" s="22"/>
      <c r="U728" s="23"/>
      <c r="V728" s="5"/>
      <c r="W728" s="5"/>
      <c r="X728" s="5"/>
      <c r="Y728" s="6"/>
      <c r="Z728" s="5"/>
    </row>
    <row r="729">
      <c r="E729" s="21"/>
      <c r="G729" s="13"/>
      <c r="I729" s="13"/>
      <c r="J729" s="17"/>
      <c r="K729" s="20"/>
      <c r="M729" s="13"/>
      <c r="N729" s="22"/>
      <c r="O729" s="13"/>
      <c r="R729" s="13"/>
      <c r="S729" s="22"/>
      <c r="U729" s="23"/>
      <c r="V729" s="5"/>
      <c r="W729" s="5"/>
      <c r="X729" s="5"/>
      <c r="Y729" s="6"/>
      <c r="Z729" s="5"/>
    </row>
    <row r="730">
      <c r="E730" s="21"/>
      <c r="G730" s="13"/>
      <c r="I730" s="13"/>
      <c r="J730" s="17"/>
      <c r="K730" s="20"/>
      <c r="M730" s="13"/>
      <c r="N730" s="22"/>
      <c r="O730" s="13"/>
      <c r="R730" s="13"/>
      <c r="S730" s="22"/>
      <c r="U730" s="23"/>
      <c r="V730" s="5"/>
      <c r="W730" s="5"/>
      <c r="X730" s="5"/>
      <c r="Y730" s="6"/>
      <c r="Z730" s="5"/>
    </row>
    <row r="731">
      <c r="E731" s="21"/>
      <c r="G731" s="13"/>
      <c r="I731" s="13"/>
      <c r="J731" s="17"/>
      <c r="K731" s="20"/>
      <c r="M731" s="13"/>
      <c r="N731" s="22"/>
      <c r="O731" s="13"/>
      <c r="R731" s="13"/>
      <c r="S731" s="22"/>
      <c r="U731" s="23"/>
      <c r="V731" s="5"/>
      <c r="W731" s="5"/>
      <c r="X731" s="5"/>
      <c r="Y731" s="6"/>
      <c r="Z731" s="5"/>
    </row>
    <row r="732">
      <c r="E732" s="21"/>
      <c r="G732" s="13"/>
      <c r="I732" s="13"/>
      <c r="J732" s="17"/>
      <c r="K732" s="20"/>
      <c r="M732" s="13"/>
      <c r="N732" s="22"/>
      <c r="O732" s="13"/>
      <c r="R732" s="13"/>
      <c r="S732" s="22"/>
      <c r="U732" s="23"/>
      <c r="V732" s="5"/>
      <c r="W732" s="5"/>
      <c r="X732" s="5"/>
      <c r="Y732" s="6"/>
      <c r="Z732" s="5"/>
    </row>
    <row r="733">
      <c r="E733" s="21"/>
      <c r="G733" s="13"/>
      <c r="I733" s="13"/>
      <c r="J733" s="17"/>
      <c r="K733" s="20"/>
      <c r="M733" s="13"/>
      <c r="N733" s="22"/>
      <c r="O733" s="13"/>
      <c r="R733" s="13"/>
      <c r="S733" s="22"/>
      <c r="U733" s="23"/>
      <c r="V733" s="5"/>
      <c r="W733" s="5"/>
      <c r="X733" s="5"/>
      <c r="Y733" s="6"/>
      <c r="Z733" s="5"/>
    </row>
    <row r="734">
      <c r="E734" s="21"/>
      <c r="G734" s="13"/>
      <c r="I734" s="13"/>
      <c r="J734" s="17"/>
      <c r="K734" s="20"/>
      <c r="M734" s="13"/>
      <c r="N734" s="22"/>
      <c r="O734" s="13"/>
      <c r="R734" s="13"/>
      <c r="S734" s="22"/>
      <c r="U734" s="23"/>
      <c r="V734" s="5"/>
      <c r="W734" s="5"/>
      <c r="X734" s="5"/>
      <c r="Y734" s="6"/>
      <c r="Z734" s="5"/>
    </row>
    <row r="735">
      <c r="E735" s="21"/>
      <c r="G735" s="13"/>
      <c r="I735" s="13"/>
      <c r="J735" s="17"/>
      <c r="K735" s="20"/>
      <c r="M735" s="13"/>
      <c r="N735" s="22"/>
      <c r="O735" s="13"/>
      <c r="R735" s="13"/>
      <c r="S735" s="22"/>
      <c r="U735" s="23"/>
      <c r="V735" s="5"/>
      <c r="W735" s="5"/>
      <c r="X735" s="5"/>
      <c r="Y735" s="6"/>
      <c r="Z735" s="5"/>
    </row>
    <row r="736">
      <c r="E736" s="21"/>
      <c r="G736" s="13"/>
      <c r="I736" s="13"/>
      <c r="J736" s="17"/>
      <c r="K736" s="20"/>
      <c r="M736" s="13"/>
      <c r="N736" s="22"/>
      <c r="O736" s="13"/>
      <c r="R736" s="13"/>
      <c r="S736" s="22"/>
      <c r="U736" s="23"/>
      <c r="V736" s="5"/>
      <c r="W736" s="5"/>
      <c r="X736" s="5"/>
      <c r="Y736" s="6"/>
      <c r="Z736" s="5"/>
    </row>
    <row r="737">
      <c r="E737" s="21"/>
      <c r="G737" s="13"/>
      <c r="I737" s="13"/>
      <c r="J737" s="17"/>
      <c r="K737" s="20"/>
      <c r="M737" s="13"/>
      <c r="N737" s="22"/>
      <c r="O737" s="13"/>
      <c r="R737" s="13"/>
      <c r="S737" s="22"/>
      <c r="U737" s="23"/>
      <c r="V737" s="5"/>
      <c r="W737" s="5"/>
      <c r="X737" s="5"/>
      <c r="Y737" s="6"/>
      <c r="Z737" s="5"/>
    </row>
    <row r="738">
      <c r="E738" s="21"/>
      <c r="G738" s="13"/>
      <c r="I738" s="13"/>
      <c r="J738" s="17"/>
      <c r="K738" s="20"/>
      <c r="M738" s="13"/>
      <c r="N738" s="22"/>
      <c r="O738" s="13"/>
      <c r="R738" s="13"/>
      <c r="S738" s="22"/>
      <c r="U738" s="23"/>
      <c r="V738" s="5"/>
      <c r="W738" s="5"/>
      <c r="X738" s="5"/>
      <c r="Y738" s="6"/>
      <c r="Z738" s="5"/>
    </row>
    <row r="739">
      <c r="E739" s="21"/>
      <c r="G739" s="13"/>
      <c r="I739" s="13"/>
      <c r="J739" s="17"/>
      <c r="K739" s="20"/>
      <c r="M739" s="13"/>
      <c r="N739" s="22"/>
      <c r="O739" s="13"/>
      <c r="R739" s="13"/>
      <c r="S739" s="22"/>
      <c r="U739" s="23"/>
      <c r="V739" s="5"/>
      <c r="W739" s="5"/>
      <c r="X739" s="5"/>
      <c r="Y739" s="6"/>
      <c r="Z739" s="5"/>
    </row>
    <row r="740">
      <c r="E740" s="21"/>
      <c r="G740" s="13"/>
      <c r="I740" s="13"/>
      <c r="J740" s="17"/>
      <c r="K740" s="20"/>
      <c r="M740" s="13"/>
      <c r="N740" s="22"/>
      <c r="O740" s="13"/>
      <c r="R740" s="13"/>
      <c r="S740" s="22"/>
      <c r="U740" s="23"/>
      <c r="V740" s="5"/>
      <c r="W740" s="5"/>
      <c r="X740" s="5"/>
      <c r="Y740" s="6"/>
      <c r="Z740" s="5"/>
    </row>
    <row r="741">
      <c r="E741" s="21"/>
      <c r="G741" s="13"/>
      <c r="I741" s="13"/>
      <c r="J741" s="17"/>
      <c r="K741" s="20"/>
      <c r="M741" s="13"/>
      <c r="N741" s="22"/>
      <c r="O741" s="13"/>
      <c r="R741" s="13"/>
      <c r="S741" s="22"/>
      <c r="U741" s="23"/>
      <c r="V741" s="5"/>
      <c r="W741" s="5"/>
      <c r="X741" s="5"/>
      <c r="Y741" s="6"/>
      <c r="Z741" s="5"/>
    </row>
    <row r="742">
      <c r="E742" s="21"/>
      <c r="G742" s="13"/>
      <c r="I742" s="13"/>
      <c r="J742" s="17"/>
      <c r="K742" s="20"/>
      <c r="M742" s="13"/>
      <c r="N742" s="22"/>
      <c r="O742" s="13"/>
      <c r="R742" s="13"/>
      <c r="S742" s="22"/>
      <c r="U742" s="23"/>
      <c r="V742" s="5"/>
      <c r="W742" s="5"/>
      <c r="X742" s="5"/>
      <c r="Y742" s="6"/>
      <c r="Z742" s="5"/>
    </row>
    <row r="743">
      <c r="E743" s="21"/>
      <c r="G743" s="13"/>
      <c r="I743" s="13"/>
      <c r="J743" s="17"/>
      <c r="K743" s="20"/>
      <c r="M743" s="13"/>
      <c r="N743" s="22"/>
      <c r="O743" s="13"/>
      <c r="R743" s="13"/>
      <c r="S743" s="22"/>
      <c r="U743" s="23"/>
      <c r="V743" s="5"/>
      <c r="W743" s="5"/>
      <c r="X743" s="5"/>
      <c r="Y743" s="6"/>
      <c r="Z743" s="5"/>
    </row>
    <row r="744">
      <c r="E744" s="21"/>
      <c r="G744" s="13"/>
      <c r="I744" s="13"/>
      <c r="J744" s="17"/>
      <c r="K744" s="20"/>
      <c r="M744" s="13"/>
      <c r="N744" s="22"/>
      <c r="O744" s="13"/>
      <c r="R744" s="13"/>
      <c r="S744" s="22"/>
      <c r="U744" s="23"/>
      <c r="V744" s="5"/>
      <c r="W744" s="5"/>
      <c r="X744" s="5"/>
      <c r="Y744" s="6"/>
      <c r="Z744" s="5"/>
    </row>
    <row r="745">
      <c r="E745" s="21"/>
      <c r="G745" s="13"/>
      <c r="I745" s="13"/>
      <c r="J745" s="17"/>
      <c r="K745" s="20"/>
      <c r="M745" s="13"/>
      <c r="N745" s="22"/>
      <c r="O745" s="13"/>
      <c r="R745" s="13"/>
      <c r="S745" s="22"/>
      <c r="U745" s="23"/>
      <c r="V745" s="5"/>
      <c r="W745" s="5"/>
      <c r="X745" s="5"/>
      <c r="Y745" s="6"/>
      <c r="Z745" s="5"/>
    </row>
    <row r="746">
      <c r="E746" s="21"/>
      <c r="G746" s="13"/>
      <c r="I746" s="13"/>
      <c r="J746" s="17"/>
      <c r="K746" s="20"/>
      <c r="M746" s="13"/>
      <c r="N746" s="22"/>
      <c r="O746" s="13"/>
      <c r="R746" s="13"/>
      <c r="S746" s="22"/>
      <c r="U746" s="23"/>
      <c r="V746" s="5"/>
      <c r="W746" s="5"/>
      <c r="X746" s="5"/>
      <c r="Y746" s="6"/>
      <c r="Z746" s="5"/>
    </row>
    <row r="747">
      <c r="E747" s="21"/>
      <c r="G747" s="13"/>
      <c r="I747" s="13"/>
      <c r="J747" s="17"/>
      <c r="K747" s="20"/>
      <c r="M747" s="13"/>
      <c r="N747" s="22"/>
      <c r="O747" s="13"/>
      <c r="R747" s="13"/>
      <c r="S747" s="22"/>
      <c r="U747" s="23"/>
      <c r="V747" s="5"/>
      <c r="W747" s="5"/>
      <c r="X747" s="5"/>
      <c r="Y747" s="6"/>
      <c r="Z747" s="5"/>
    </row>
    <row r="748">
      <c r="E748" s="21"/>
      <c r="G748" s="13"/>
      <c r="I748" s="13"/>
      <c r="J748" s="17"/>
      <c r="K748" s="20"/>
      <c r="M748" s="13"/>
      <c r="N748" s="22"/>
      <c r="O748" s="13"/>
      <c r="R748" s="13"/>
      <c r="S748" s="22"/>
      <c r="U748" s="23"/>
      <c r="V748" s="5"/>
      <c r="W748" s="5"/>
      <c r="X748" s="5"/>
      <c r="Y748" s="6"/>
      <c r="Z748" s="5"/>
    </row>
    <row r="749">
      <c r="E749" s="21"/>
      <c r="G749" s="13"/>
      <c r="I749" s="13"/>
      <c r="J749" s="17"/>
      <c r="K749" s="20"/>
      <c r="M749" s="13"/>
      <c r="N749" s="22"/>
      <c r="O749" s="13"/>
      <c r="R749" s="13"/>
      <c r="S749" s="22"/>
      <c r="U749" s="23"/>
      <c r="V749" s="5"/>
      <c r="W749" s="5"/>
      <c r="X749" s="5"/>
      <c r="Y749" s="6"/>
      <c r="Z749" s="5"/>
    </row>
    <row r="750">
      <c r="E750" s="21"/>
      <c r="G750" s="13"/>
      <c r="I750" s="13"/>
      <c r="J750" s="17"/>
      <c r="K750" s="20"/>
      <c r="M750" s="13"/>
      <c r="N750" s="22"/>
      <c r="O750" s="13"/>
      <c r="R750" s="13"/>
      <c r="S750" s="22"/>
      <c r="U750" s="23"/>
      <c r="V750" s="5"/>
      <c r="W750" s="5"/>
      <c r="X750" s="5"/>
      <c r="Y750" s="6"/>
      <c r="Z750" s="5"/>
    </row>
    <row r="751">
      <c r="E751" s="21"/>
      <c r="G751" s="13"/>
      <c r="I751" s="13"/>
      <c r="J751" s="17"/>
      <c r="K751" s="20"/>
      <c r="M751" s="13"/>
      <c r="N751" s="22"/>
      <c r="O751" s="13"/>
      <c r="R751" s="13"/>
      <c r="S751" s="22"/>
      <c r="U751" s="23"/>
      <c r="V751" s="5"/>
      <c r="W751" s="5"/>
      <c r="X751" s="5"/>
      <c r="Y751" s="6"/>
      <c r="Z751" s="5"/>
    </row>
    <row r="752">
      <c r="E752" s="21"/>
      <c r="G752" s="13"/>
      <c r="I752" s="13"/>
      <c r="J752" s="17"/>
      <c r="K752" s="20"/>
      <c r="M752" s="13"/>
      <c r="N752" s="22"/>
      <c r="O752" s="13"/>
      <c r="R752" s="13"/>
      <c r="S752" s="22"/>
      <c r="U752" s="23"/>
      <c r="V752" s="5"/>
      <c r="W752" s="5"/>
      <c r="X752" s="5"/>
      <c r="Y752" s="6"/>
      <c r="Z752" s="5"/>
    </row>
    <row r="753">
      <c r="E753" s="21"/>
      <c r="G753" s="13"/>
      <c r="I753" s="13"/>
      <c r="J753" s="17"/>
      <c r="K753" s="20"/>
      <c r="M753" s="13"/>
      <c r="N753" s="22"/>
      <c r="O753" s="13"/>
      <c r="R753" s="13"/>
      <c r="S753" s="22"/>
      <c r="U753" s="23"/>
      <c r="V753" s="5"/>
      <c r="W753" s="5"/>
      <c r="X753" s="5"/>
      <c r="Y753" s="6"/>
      <c r="Z753" s="5"/>
    </row>
    <row r="754">
      <c r="E754" s="21"/>
      <c r="G754" s="13"/>
      <c r="I754" s="13"/>
      <c r="J754" s="17"/>
      <c r="K754" s="20"/>
      <c r="M754" s="13"/>
      <c r="N754" s="22"/>
      <c r="O754" s="13"/>
      <c r="R754" s="13"/>
      <c r="S754" s="22"/>
      <c r="U754" s="23"/>
      <c r="V754" s="5"/>
      <c r="W754" s="5"/>
      <c r="X754" s="5"/>
      <c r="Y754" s="6"/>
      <c r="Z754" s="5"/>
    </row>
    <row r="755">
      <c r="E755" s="21"/>
      <c r="G755" s="13"/>
      <c r="I755" s="13"/>
      <c r="J755" s="17"/>
      <c r="K755" s="20"/>
      <c r="M755" s="13"/>
      <c r="N755" s="22"/>
      <c r="O755" s="13"/>
      <c r="R755" s="13"/>
      <c r="S755" s="22"/>
      <c r="U755" s="23"/>
      <c r="V755" s="5"/>
      <c r="W755" s="5"/>
      <c r="X755" s="5"/>
      <c r="Y755" s="6"/>
      <c r="Z755" s="5"/>
    </row>
    <row r="756">
      <c r="E756" s="21"/>
      <c r="G756" s="13"/>
      <c r="I756" s="13"/>
      <c r="J756" s="17"/>
      <c r="K756" s="20"/>
      <c r="M756" s="13"/>
      <c r="N756" s="22"/>
      <c r="O756" s="13"/>
      <c r="R756" s="13"/>
      <c r="S756" s="22"/>
      <c r="U756" s="23"/>
      <c r="V756" s="5"/>
      <c r="W756" s="5"/>
      <c r="X756" s="5"/>
      <c r="Y756" s="6"/>
      <c r="Z756" s="5"/>
    </row>
    <row r="757">
      <c r="E757" s="21"/>
      <c r="G757" s="13"/>
      <c r="I757" s="13"/>
      <c r="J757" s="17"/>
      <c r="K757" s="20"/>
      <c r="M757" s="13"/>
      <c r="N757" s="22"/>
      <c r="O757" s="13"/>
      <c r="R757" s="13"/>
      <c r="S757" s="22"/>
      <c r="U757" s="23"/>
      <c r="V757" s="5"/>
      <c r="W757" s="5"/>
      <c r="X757" s="5"/>
      <c r="Y757" s="6"/>
      <c r="Z757" s="5"/>
    </row>
    <row r="758">
      <c r="E758" s="21"/>
      <c r="G758" s="13"/>
      <c r="I758" s="13"/>
      <c r="J758" s="17"/>
      <c r="K758" s="20"/>
      <c r="M758" s="13"/>
      <c r="N758" s="22"/>
      <c r="O758" s="13"/>
      <c r="R758" s="13"/>
      <c r="S758" s="22"/>
      <c r="U758" s="23"/>
      <c r="V758" s="5"/>
      <c r="W758" s="5"/>
      <c r="X758" s="5"/>
      <c r="Y758" s="6"/>
      <c r="Z758" s="5"/>
    </row>
    <row r="759">
      <c r="E759" s="21"/>
      <c r="G759" s="13"/>
      <c r="I759" s="13"/>
      <c r="J759" s="17"/>
      <c r="K759" s="20"/>
      <c r="M759" s="13"/>
      <c r="N759" s="22"/>
      <c r="O759" s="13"/>
      <c r="R759" s="13"/>
      <c r="S759" s="22"/>
      <c r="U759" s="23"/>
      <c r="V759" s="5"/>
      <c r="W759" s="5"/>
      <c r="X759" s="5"/>
      <c r="Y759" s="6"/>
      <c r="Z759" s="5"/>
    </row>
    <row r="760">
      <c r="E760" s="21"/>
      <c r="G760" s="13"/>
      <c r="I760" s="13"/>
      <c r="J760" s="17"/>
      <c r="K760" s="20"/>
      <c r="M760" s="13"/>
      <c r="N760" s="22"/>
      <c r="O760" s="13"/>
      <c r="R760" s="13"/>
      <c r="S760" s="22"/>
      <c r="U760" s="23"/>
      <c r="V760" s="5"/>
      <c r="W760" s="5"/>
      <c r="X760" s="5"/>
      <c r="Y760" s="6"/>
      <c r="Z760" s="5"/>
    </row>
    <row r="761">
      <c r="E761" s="21"/>
      <c r="G761" s="13"/>
      <c r="I761" s="13"/>
      <c r="J761" s="17"/>
      <c r="K761" s="20"/>
      <c r="M761" s="13"/>
      <c r="N761" s="22"/>
      <c r="O761" s="13"/>
      <c r="R761" s="13"/>
      <c r="S761" s="22"/>
      <c r="U761" s="23"/>
      <c r="V761" s="5"/>
      <c r="W761" s="5"/>
      <c r="X761" s="5"/>
      <c r="Y761" s="6"/>
      <c r="Z761" s="5"/>
    </row>
    <row r="762">
      <c r="E762" s="21"/>
      <c r="G762" s="13"/>
      <c r="I762" s="13"/>
      <c r="J762" s="17"/>
      <c r="K762" s="20"/>
      <c r="M762" s="13"/>
      <c r="N762" s="22"/>
      <c r="O762" s="13"/>
      <c r="R762" s="13"/>
      <c r="S762" s="22"/>
      <c r="U762" s="23"/>
      <c r="V762" s="5"/>
      <c r="W762" s="5"/>
      <c r="X762" s="5"/>
      <c r="Y762" s="6"/>
      <c r="Z762" s="5"/>
    </row>
    <row r="763">
      <c r="E763" s="21"/>
      <c r="G763" s="13"/>
      <c r="I763" s="13"/>
      <c r="J763" s="17"/>
      <c r="K763" s="20"/>
      <c r="M763" s="13"/>
      <c r="N763" s="22"/>
      <c r="O763" s="13"/>
      <c r="R763" s="13"/>
      <c r="S763" s="22"/>
      <c r="U763" s="23"/>
      <c r="V763" s="5"/>
      <c r="W763" s="5"/>
      <c r="X763" s="5"/>
      <c r="Y763" s="6"/>
      <c r="Z763" s="5"/>
    </row>
    <row r="764">
      <c r="E764" s="21"/>
      <c r="G764" s="13"/>
      <c r="I764" s="13"/>
      <c r="J764" s="17"/>
      <c r="K764" s="20"/>
      <c r="M764" s="13"/>
      <c r="N764" s="22"/>
      <c r="O764" s="13"/>
      <c r="R764" s="13"/>
      <c r="S764" s="22"/>
      <c r="U764" s="23"/>
      <c r="V764" s="5"/>
      <c r="W764" s="5"/>
      <c r="X764" s="5"/>
      <c r="Y764" s="6"/>
      <c r="Z764" s="5"/>
    </row>
    <row r="765">
      <c r="E765" s="21"/>
      <c r="G765" s="13"/>
      <c r="I765" s="13"/>
      <c r="J765" s="17"/>
      <c r="K765" s="20"/>
      <c r="M765" s="13"/>
      <c r="N765" s="22"/>
      <c r="O765" s="13"/>
      <c r="R765" s="13"/>
      <c r="S765" s="22"/>
      <c r="U765" s="23"/>
      <c r="V765" s="5"/>
      <c r="W765" s="5"/>
      <c r="X765" s="5"/>
      <c r="Y765" s="6"/>
      <c r="Z765" s="5"/>
    </row>
    <row r="766">
      <c r="E766" s="21"/>
      <c r="G766" s="13"/>
      <c r="I766" s="13"/>
      <c r="J766" s="17"/>
      <c r="K766" s="20"/>
      <c r="M766" s="13"/>
      <c r="N766" s="22"/>
      <c r="O766" s="13"/>
      <c r="R766" s="13"/>
      <c r="S766" s="22"/>
      <c r="U766" s="23"/>
      <c r="V766" s="5"/>
      <c r="W766" s="5"/>
      <c r="X766" s="5"/>
      <c r="Y766" s="6"/>
      <c r="Z766" s="5"/>
    </row>
    <row r="767">
      <c r="E767" s="21"/>
      <c r="G767" s="13"/>
      <c r="I767" s="13"/>
      <c r="J767" s="17"/>
      <c r="K767" s="20"/>
      <c r="M767" s="13"/>
      <c r="N767" s="22"/>
      <c r="O767" s="13"/>
      <c r="R767" s="13"/>
      <c r="S767" s="22"/>
      <c r="U767" s="23"/>
      <c r="V767" s="5"/>
      <c r="W767" s="5"/>
      <c r="X767" s="5"/>
      <c r="Y767" s="6"/>
      <c r="Z767" s="5"/>
    </row>
    <row r="768">
      <c r="E768" s="21"/>
      <c r="G768" s="13"/>
      <c r="I768" s="13"/>
      <c r="J768" s="17"/>
      <c r="K768" s="20"/>
      <c r="M768" s="13"/>
      <c r="N768" s="22"/>
      <c r="O768" s="13"/>
      <c r="R768" s="13"/>
      <c r="S768" s="22"/>
      <c r="U768" s="23"/>
      <c r="V768" s="5"/>
      <c r="W768" s="5"/>
      <c r="X768" s="5"/>
      <c r="Y768" s="6"/>
      <c r="Z768" s="5"/>
    </row>
    <row r="769">
      <c r="E769" s="21"/>
      <c r="G769" s="13"/>
      <c r="I769" s="13"/>
      <c r="J769" s="17"/>
      <c r="K769" s="20"/>
      <c r="M769" s="13"/>
      <c r="N769" s="22"/>
      <c r="O769" s="13"/>
      <c r="R769" s="13"/>
      <c r="S769" s="22"/>
      <c r="U769" s="23"/>
      <c r="V769" s="5"/>
      <c r="W769" s="5"/>
      <c r="X769" s="5"/>
      <c r="Y769" s="6"/>
      <c r="Z769" s="5"/>
    </row>
    <row r="770">
      <c r="E770" s="21"/>
      <c r="G770" s="13"/>
      <c r="I770" s="13"/>
      <c r="J770" s="17"/>
      <c r="K770" s="20"/>
      <c r="M770" s="13"/>
      <c r="N770" s="22"/>
      <c r="O770" s="13"/>
      <c r="R770" s="13"/>
      <c r="S770" s="22"/>
      <c r="U770" s="23"/>
      <c r="V770" s="5"/>
      <c r="W770" s="5"/>
      <c r="X770" s="5"/>
      <c r="Y770" s="6"/>
      <c r="Z770" s="5"/>
    </row>
    <row r="771">
      <c r="E771" s="21"/>
      <c r="G771" s="13"/>
      <c r="I771" s="13"/>
      <c r="J771" s="17"/>
      <c r="K771" s="20"/>
      <c r="M771" s="13"/>
      <c r="N771" s="22"/>
      <c r="O771" s="13"/>
      <c r="R771" s="13"/>
      <c r="S771" s="22"/>
      <c r="U771" s="23"/>
      <c r="V771" s="5"/>
      <c r="W771" s="5"/>
      <c r="X771" s="5"/>
      <c r="Y771" s="6"/>
      <c r="Z771" s="5"/>
    </row>
    <row r="772">
      <c r="E772" s="21"/>
      <c r="G772" s="13"/>
      <c r="I772" s="13"/>
      <c r="J772" s="17"/>
      <c r="K772" s="20"/>
      <c r="M772" s="13"/>
      <c r="N772" s="22"/>
      <c r="O772" s="13"/>
      <c r="R772" s="13"/>
      <c r="S772" s="22"/>
      <c r="U772" s="23"/>
      <c r="V772" s="5"/>
      <c r="W772" s="5"/>
      <c r="X772" s="5"/>
      <c r="Y772" s="6"/>
      <c r="Z772" s="5"/>
    </row>
    <row r="773">
      <c r="E773" s="21"/>
      <c r="G773" s="13"/>
      <c r="I773" s="13"/>
      <c r="J773" s="17"/>
      <c r="K773" s="20"/>
      <c r="M773" s="13"/>
      <c r="N773" s="22"/>
      <c r="O773" s="13"/>
      <c r="R773" s="13"/>
      <c r="S773" s="22"/>
      <c r="U773" s="23"/>
      <c r="V773" s="5"/>
      <c r="W773" s="5"/>
      <c r="X773" s="5"/>
      <c r="Y773" s="6"/>
      <c r="Z773" s="5"/>
    </row>
    <row r="774">
      <c r="E774" s="21"/>
      <c r="G774" s="13"/>
      <c r="I774" s="13"/>
      <c r="J774" s="17"/>
      <c r="K774" s="20"/>
      <c r="M774" s="13"/>
      <c r="N774" s="22"/>
      <c r="O774" s="13"/>
      <c r="R774" s="13"/>
      <c r="S774" s="22"/>
      <c r="U774" s="23"/>
      <c r="V774" s="5"/>
      <c r="W774" s="5"/>
      <c r="X774" s="5"/>
      <c r="Y774" s="6"/>
      <c r="Z774" s="5"/>
    </row>
    <row r="775">
      <c r="E775" s="21"/>
      <c r="G775" s="13"/>
      <c r="I775" s="13"/>
      <c r="J775" s="17"/>
      <c r="K775" s="20"/>
      <c r="M775" s="13"/>
      <c r="N775" s="22"/>
      <c r="O775" s="13"/>
      <c r="R775" s="13"/>
      <c r="S775" s="22"/>
      <c r="U775" s="23"/>
      <c r="V775" s="5"/>
      <c r="W775" s="5"/>
      <c r="X775" s="5"/>
      <c r="Y775" s="6"/>
      <c r="Z775" s="5"/>
    </row>
    <row r="776">
      <c r="E776" s="21"/>
      <c r="G776" s="13"/>
      <c r="I776" s="13"/>
      <c r="J776" s="17"/>
      <c r="K776" s="20"/>
      <c r="M776" s="13"/>
      <c r="N776" s="22"/>
      <c r="O776" s="13"/>
      <c r="R776" s="13"/>
      <c r="S776" s="22"/>
      <c r="U776" s="23"/>
      <c r="V776" s="5"/>
      <c r="W776" s="5"/>
      <c r="X776" s="5"/>
      <c r="Y776" s="6"/>
      <c r="Z776" s="5"/>
    </row>
    <row r="777">
      <c r="E777" s="21"/>
      <c r="G777" s="13"/>
      <c r="I777" s="13"/>
      <c r="J777" s="17"/>
      <c r="K777" s="20"/>
      <c r="M777" s="13"/>
      <c r="N777" s="22"/>
      <c r="O777" s="13"/>
      <c r="R777" s="13"/>
      <c r="S777" s="22"/>
      <c r="U777" s="23"/>
      <c r="V777" s="5"/>
      <c r="W777" s="5"/>
      <c r="X777" s="5"/>
      <c r="Y777" s="6"/>
      <c r="Z777" s="5"/>
    </row>
    <row r="778">
      <c r="E778" s="21"/>
      <c r="G778" s="13"/>
      <c r="I778" s="13"/>
      <c r="J778" s="17"/>
      <c r="K778" s="20"/>
      <c r="M778" s="13"/>
      <c r="N778" s="22"/>
      <c r="O778" s="13"/>
      <c r="R778" s="13"/>
      <c r="S778" s="22"/>
      <c r="U778" s="23"/>
      <c r="V778" s="5"/>
      <c r="W778" s="5"/>
      <c r="X778" s="5"/>
      <c r="Y778" s="6"/>
      <c r="Z778" s="5"/>
    </row>
    <row r="779">
      <c r="E779" s="21"/>
      <c r="G779" s="13"/>
      <c r="I779" s="13"/>
      <c r="J779" s="17"/>
      <c r="K779" s="20"/>
      <c r="M779" s="13"/>
      <c r="N779" s="22"/>
      <c r="O779" s="13"/>
      <c r="R779" s="13"/>
      <c r="S779" s="22"/>
      <c r="U779" s="23"/>
      <c r="V779" s="5"/>
      <c r="W779" s="5"/>
      <c r="X779" s="5"/>
      <c r="Y779" s="6"/>
      <c r="Z779" s="5"/>
    </row>
    <row r="780">
      <c r="E780" s="21"/>
      <c r="G780" s="13"/>
      <c r="I780" s="13"/>
      <c r="J780" s="17"/>
      <c r="K780" s="20"/>
      <c r="M780" s="13"/>
      <c r="N780" s="22"/>
      <c r="O780" s="13"/>
      <c r="R780" s="13"/>
      <c r="S780" s="22"/>
      <c r="U780" s="23"/>
      <c r="V780" s="5"/>
      <c r="W780" s="5"/>
      <c r="X780" s="5"/>
      <c r="Y780" s="6"/>
      <c r="Z780" s="5"/>
    </row>
    <row r="781">
      <c r="E781" s="21"/>
      <c r="G781" s="13"/>
      <c r="I781" s="13"/>
      <c r="J781" s="17"/>
      <c r="K781" s="20"/>
      <c r="M781" s="13"/>
      <c r="N781" s="22"/>
      <c r="O781" s="13"/>
      <c r="R781" s="13"/>
      <c r="S781" s="22"/>
      <c r="U781" s="23"/>
      <c r="V781" s="5"/>
      <c r="W781" s="5"/>
      <c r="X781" s="5"/>
      <c r="Y781" s="6"/>
      <c r="Z781" s="5"/>
    </row>
    <row r="782">
      <c r="E782" s="21"/>
      <c r="G782" s="13"/>
      <c r="I782" s="13"/>
      <c r="J782" s="17"/>
      <c r="K782" s="20"/>
      <c r="M782" s="13"/>
      <c r="N782" s="22"/>
      <c r="O782" s="13"/>
      <c r="R782" s="13"/>
      <c r="S782" s="22"/>
      <c r="U782" s="23"/>
      <c r="V782" s="5"/>
      <c r="W782" s="5"/>
      <c r="X782" s="5"/>
      <c r="Y782" s="6"/>
      <c r="Z782" s="5"/>
    </row>
    <row r="783">
      <c r="E783" s="21"/>
      <c r="G783" s="13"/>
      <c r="I783" s="13"/>
      <c r="J783" s="17"/>
      <c r="K783" s="20"/>
      <c r="M783" s="13"/>
      <c r="N783" s="22"/>
      <c r="O783" s="13"/>
      <c r="R783" s="13"/>
      <c r="S783" s="22"/>
      <c r="U783" s="23"/>
      <c r="V783" s="5"/>
      <c r="W783" s="5"/>
      <c r="X783" s="5"/>
      <c r="Y783" s="6"/>
      <c r="Z783" s="5"/>
    </row>
    <row r="784">
      <c r="E784" s="21"/>
      <c r="G784" s="13"/>
      <c r="I784" s="13"/>
      <c r="J784" s="17"/>
      <c r="K784" s="20"/>
      <c r="M784" s="13"/>
      <c r="N784" s="22"/>
      <c r="O784" s="13"/>
      <c r="R784" s="13"/>
      <c r="S784" s="22"/>
      <c r="U784" s="23"/>
      <c r="V784" s="5"/>
      <c r="W784" s="5"/>
      <c r="X784" s="5"/>
      <c r="Y784" s="6"/>
      <c r="Z784" s="5"/>
    </row>
    <row r="785">
      <c r="E785" s="21"/>
      <c r="G785" s="13"/>
      <c r="I785" s="13"/>
      <c r="J785" s="17"/>
      <c r="K785" s="20"/>
      <c r="M785" s="13"/>
      <c r="N785" s="22"/>
      <c r="O785" s="13"/>
      <c r="R785" s="13"/>
      <c r="S785" s="22"/>
      <c r="U785" s="23"/>
      <c r="V785" s="5"/>
      <c r="W785" s="5"/>
      <c r="X785" s="5"/>
      <c r="Y785" s="6"/>
      <c r="Z785" s="5"/>
    </row>
    <row r="786">
      <c r="E786" s="21"/>
      <c r="G786" s="13"/>
      <c r="I786" s="13"/>
      <c r="J786" s="17"/>
      <c r="K786" s="20"/>
      <c r="M786" s="13"/>
      <c r="N786" s="22"/>
      <c r="O786" s="13"/>
      <c r="R786" s="13"/>
      <c r="S786" s="22"/>
      <c r="U786" s="23"/>
      <c r="V786" s="5"/>
      <c r="W786" s="5"/>
      <c r="X786" s="5"/>
      <c r="Y786" s="6"/>
      <c r="Z786" s="5"/>
    </row>
    <row r="787">
      <c r="E787" s="21"/>
      <c r="G787" s="13"/>
      <c r="I787" s="13"/>
      <c r="J787" s="17"/>
      <c r="K787" s="20"/>
      <c r="M787" s="13"/>
      <c r="N787" s="22"/>
      <c r="O787" s="13"/>
      <c r="R787" s="13"/>
      <c r="S787" s="22"/>
      <c r="U787" s="23"/>
      <c r="V787" s="5"/>
      <c r="W787" s="5"/>
      <c r="X787" s="5"/>
      <c r="Y787" s="6"/>
      <c r="Z787" s="5"/>
    </row>
    <row r="788">
      <c r="E788" s="21"/>
      <c r="G788" s="13"/>
      <c r="I788" s="13"/>
      <c r="J788" s="17"/>
      <c r="K788" s="20"/>
      <c r="M788" s="13"/>
      <c r="N788" s="22"/>
      <c r="O788" s="13"/>
      <c r="R788" s="13"/>
      <c r="S788" s="22"/>
      <c r="U788" s="23"/>
      <c r="V788" s="5"/>
      <c r="W788" s="5"/>
      <c r="X788" s="5"/>
      <c r="Y788" s="6"/>
      <c r="Z788" s="5"/>
    </row>
    <row r="789">
      <c r="E789" s="21"/>
      <c r="G789" s="13"/>
      <c r="I789" s="13"/>
      <c r="J789" s="17"/>
      <c r="K789" s="20"/>
      <c r="M789" s="13"/>
      <c r="N789" s="22"/>
      <c r="O789" s="13"/>
      <c r="R789" s="13"/>
      <c r="S789" s="22"/>
      <c r="U789" s="23"/>
      <c r="V789" s="5"/>
      <c r="W789" s="5"/>
      <c r="X789" s="5"/>
      <c r="Y789" s="6"/>
      <c r="Z789" s="5"/>
    </row>
    <row r="790">
      <c r="E790" s="21"/>
      <c r="G790" s="13"/>
      <c r="I790" s="13"/>
      <c r="J790" s="17"/>
      <c r="K790" s="20"/>
      <c r="M790" s="13"/>
      <c r="N790" s="22"/>
      <c r="O790" s="13"/>
      <c r="R790" s="13"/>
      <c r="S790" s="22"/>
      <c r="U790" s="23"/>
      <c r="V790" s="5"/>
      <c r="W790" s="5"/>
      <c r="X790" s="5"/>
      <c r="Y790" s="6"/>
      <c r="Z790" s="5"/>
    </row>
    <row r="791">
      <c r="E791" s="21"/>
      <c r="G791" s="13"/>
      <c r="I791" s="13"/>
      <c r="J791" s="17"/>
      <c r="K791" s="20"/>
      <c r="M791" s="13"/>
      <c r="N791" s="22"/>
      <c r="O791" s="13"/>
      <c r="R791" s="13"/>
      <c r="S791" s="22"/>
      <c r="U791" s="23"/>
      <c r="V791" s="5"/>
      <c r="W791" s="5"/>
      <c r="X791" s="5"/>
      <c r="Y791" s="6"/>
      <c r="Z791" s="5"/>
    </row>
    <row r="792">
      <c r="E792" s="21"/>
      <c r="G792" s="13"/>
      <c r="I792" s="13"/>
      <c r="J792" s="17"/>
      <c r="K792" s="20"/>
      <c r="M792" s="13"/>
      <c r="N792" s="22"/>
      <c r="O792" s="13"/>
      <c r="R792" s="13"/>
      <c r="S792" s="22"/>
      <c r="U792" s="23"/>
      <c r="V792" s="5"/>
      <c r="W792" s="5"/>
      <c r="X792" s="5"/>
      <c r="Y792" s="6"/>
      <c r="Z792" s="5"/>
    </row>
    <row r="793">
      <c r="E793" s="21"/>
      <c r="G793" s="13"/>
      <c r="I793" s="13"/>
      <c r="J793" s="17"/>
      <c r="K793" s="20"/>
      <c r="M793" s="13"/>
      <c r="N793" s="22"/>
      <c r="O793" s="13"/>
      <c r="R793" s="13"/>
      <c r="S793" s="22"/>
      <c r="U793" s="23"/>
      <c r="V793" s="5"/>
      <c r="W793" s="5"/>
      <c r="X793" s="5"/>
      <c r="Y793" s="6"/>
      <c r="Z793" s="5"/>
    </row>
    <row r="794">
      <c r="E794" s="21"/>
      <c r="G794" s="13"/>
      <c r="I794" s="13"/>
      <c r="J794" s="17"/>
      <c r="K794" s="20"/>
      <c r="M794" s="13"/>
      <c r="N794" s="22"/>
      <c r="O794" s="13"/>
      <c r="R794" s="13"/>
      <c r="S794" s="22"/>
      <c r="U794" s="23"/>
      <c r="V794" s="5"/>
      <c r="W794" s="5"/>
      <c r="X794" s="5"/>
      <c r="Y794" s="6"/>
      <c r="Z794" s="5"/>
    </row>
    <row r="795">
      <c r="E795" s="21"/>
      <c r="G795" s="13"/>
      <c r="I795" s="13"/>
      <c r="J795" s="17"/>
      <c r="K795" s="20"/>
      <c r="M795" s="13"/>
      <c r="N795" s="22"/>
      <c r="O795" s="13"/>
      <c r="R795" s="13"/>
      <c r="S795" s="22"/>
      <c r="U795" s="23"/>
      <c r="V795" s="5"/>
      <c r="W795" s="5"/>
      <c r="X795" s="5"/>
      <c r="Y795" s="6"/>
      <c r="Z795" s="5"/>
    </row>
    <row r="796">
      <c r="E796" s="21"/>
      <c r="G796" s="13"/>
      <c r="I796" s="13"/>
      <c r="J796" s="17"/>
      <c r="K796" s="20"/>
      <c r="M796" s="13"/>
      <c r="N796" s="22"/>
      <c r="O796" s="13"/>
      <c r="R796" s="13"/>
      <c r="S796" s="22"/>
      <c r="U796" s="23"/>
      <c r="V796" s="5"/>
      <c r="W796" s="5"/>
      <c r="X796" s="5"/>
      <c r="Y796" s="6"/>
      <c r="Z796" s="5"/>
    </row>
    <row r="797">
      <c r="E797" s="21"/>
      <c r="G797" s="13"/>
      <c r="I797" s="13"/>
      <c r="J797" s="17"/>
      <c r="K797" s="20"/>
      <c r="M797" s="13"/>
      <c r="N797" s="22"/>
      <c r="O797" s="13"/>
      <c r="R797" s="13"/>
      <c r="S797" s="22"/>
      <c r="U797" s="23"/>
      <c r="V797" s="5"/>
      <c r="W797" s="5"/>
      <c r="X797" s="5"/>
      <c r="Y797" s="6"/>
      <c r="Z797" s="5"/>
    </row>
    <row r="798">
      <c r="E798" s="21"/>
      <c r="G798" s="13"/>
      <c r="I798" s="13"/>
      <c r="J798" s="17"/>
      <c r="K798" s="20"/>
      <c r="M798" s="13"/>
      <c r="N798" s="22"/>
      <c r="O798" s="13"/>
      <c r="R798" s="13"/>
      <c r="S798" s="22"/>
      <c r="U798" s="23"/>
      <c r="V798" s="5"/>
      <c r="W798" s="5"/>
      <c r="X798" s="5"/>
      <c r="Y798" s="6"/>
      <c r="Z798" s="5"/>
    </row>
    <row r="799">
      <c r="E799" s="21"/>
      <c r="G799" s="13"/>
      <c r="I799" s="13"/>
      <c r="J799" s="17"/>
      <c r="K799" s="20"/>
      <c r="M799" s="13"/>
      <c r="N799" s="22"/>
      <c r="O799" s="13"/>
      <c r="R799" s="13"/>
      <c r="S799" s="22"/>
      <c r="U799" s="23"/>
      <c r="V799" s="5"/>
      <c r="W799" s="5"/>
      <c r="X799" s="5"/>
      <c r="Y799" s="6"/>
      <c r="Z799" s="5"/>
    </row>
    <row r="800">
      <c r="E800" s="21"/>
      <c r="G800" s="13"/>
      <c r="I800" s="13"/>
      <c r="J800" s="17"/>
      <c r="K800" s="20"/>
      <c r="M800" s="13"/>
      <c r="N800" s="22"/>
      <c r="O800" s="13"/>
      <c r="R800" s="13"/>
      <c r="S800" s="22"/>
      <c r="U800" s="23"/>
      <c r="V800" s="5"/>
      <c r="W800" s="5"/>
      <c r="X800" s="5"/>
      <c r="Y800" s="6"/>
      <c r="Z800" s="5"/>
    </row>
    <row r="801">
      <c r="E801" s="21"/>
      <c r="G801" s="13"/>
      <c r="I801" s="13"/>
      <c r="J801" s="17"/>
      <c r="K801" s="20"/>
      <c r="M801" s="13"/>
      <c r="N801" s="22"/>
      <c r="O801" s="13"/>
      <c r="R801" s="13"/>
      <c r="S801" s="22"/>
      <c r="U801" s="23"/>
      <c r="V801" s="5"/>
      <c r="W801" s="5"/>
      <c r="X801" s="5"/>
      <c r="Y801" s="6"/>
      <c r="Z801" s="5"/>
    </row>
    <row r="802">
      <c r="E802" s="21"/>
      <c r="G802" s="13"/>
      <c r="I802" s="13"/>
      <c r="J802" s="17"/>
      <c r="K802" s="20"/>
      <c r="M802" s="13"/>
      <c r="N802" s="22"/>
      <c r="O802" s="13"/>
      <c r="R802" s="13"/>
      <c r="S802" s="22"/>
      <c r="U802" s="23"/>
      <c r="V802" s="5"/>
      <c r="W802" s="5"/>
      <c r="X802" s="5"/>
      <c r="Y802" s="6"/>
      <c r="Z802" s="5"/>
    </row>
    <row r="803">
      <c r="E803" s="21"/>
      <c r="G803" s="13"/>
      <c r="I803" s="13"/>
      <c r="J803" s="17"/>
      <c r="K803" s="20"/>
      <c r="M803" s="13"/>
      <c r="N803" s="22"/>
      <c r="O803" s="13"/>
      <c r="R803" s="13"/>
      <c r="S803" s="22"/>
      <c r="U803" s="23"/>
      <c r="V803" s="5"/>
      <c r="W803" s="5"/>
      <c r="X803" s="5"/>
      <c r="Y803" s="6"/>
      <c r="Z803" s="5"/>
    </row>
    <row r="804">
      <c r="E804" s="21"/>
      <c r="G804" s="13"/>
      <c r="I804" s="13"/>
      <c r="J804" s="17"/>
      <c r="K804" s="20"/>
      <c r="M804" s="13"/>
      <c r="N804" s="22"/>
      <c r="O804" s="13"/>
      <c r="R804" s="13"/>
      <c r="S804" s="22"/>
      <c r="U804" s="23"/>
      <c r="V804" s="5"/>
      <c r="W804" s="5"/>
      <c r="X804" s="5"/>
      <c r="Y804" s="6"/>
      <c r="Z804" s="5"/>
    </row>
    <row r="805">
      <c r="E805" s="21"/>
      <c r="G805" s="13"/>
      <c r="I805" s="13"/>
      <c r="J805" s="17"/>
      <c r="K805" s="20"/>
      <c r="M805" s="13"/>
      <c r="N805" s="22"/>
      <c r="O805" s="13"/>
      <c r="R805" s="13"/>
      <c r="S805" s="22"/>
      <c r="U805" s="23"/>
      <c r="V805" s="5"/>
      <c r="W805" s="5"/>
      <c r="X805" s="5"/>
      <c r="Y805" s="6"/>
      <c r="Z805" s="5"/>
    </row>
    <row r="806">
      <c r="E806" s="21"/>
      <c r="G806" s="13"/>
      <c r="I806" s="13"/>
      <c r="J806" s="17"/>
      <c r="K806" s="20"/>
      <c r="M806" s="13"/>
      <c r="N806" s="22"/>
      <c r="O806" s="13"/>
      <c r="R806" s="13"/>
      <c r="S806" s="22"/>
      <c r="U806" s="23"/>
      <c r="V806" s="5"/>
      <c r="W806" s="5"/>
      <c r="X806" s="5"/>
      <c r="Y806" s="6"/>
      <c r="Z806" s="5"/>
    </row>
    <row r="807">
      <c r="E807" s="21"/>
      <c r="G807" s="13"/>
      <c r="I807" s="13"/>
      <c r="J807" s="17"/>
      <c r="K807" s="20"/>
      <c r="M807" s="13"/>
      <c r="N807" s="22"/>
      <c r="O807" s="13"/>
      <c r="R807" s="13"/>
      <c r="S807" s="22"/>
      <c r="U807" s="23"/>
      <c r="V807" s="5"/>
      <c r="W807" s="5"/>
      <c r="X807" s="5"/>
      <c r="Y807" s="6"/>
      <c r="Z807" s="5"/>
    </row>
    <row r="808">
      <c r="E808" s="21"/>
      <c r="G808" s="13"/>
      <c r="I808" s="13"/>
      <c r="J808" s="17"/>
      <c r="K808" s="20"/>
      <c r="M808" s="13"/>
      <c r="N808" s="22"/>
      <c r="O808" s="13"/>
      <c r="R808" s="13"/>
      <c r="S808" s="22"/>
      <c r="U808" s="23"/>
      <c r="V808" s="5"/>
      <c r="W808" s="5"/>
      <c r="X808" s="5"/>
      <c r="Y808" s="6"/>
      <c r="Z808" s="5"/>
    </row>
    <row r="809">
      <c r="E809" s="21"/>
      <c r="G809" s="13"/>
      <c r="I809" s="13"/>
      <c r="J809" s="17"/>
      <c r="K809" s="20"/>
      <c r="M809" s="13"/>
      <c r="N809" s="22"/>
      <c r="O809" s="13"/>
      <c r="R809" s="13"/>
      <c r="S809" s="22"/>
      <c r="U809" s="23"/>
      <c r="V809" s="5"/>
      <c r="W809" s="5"/>
      <c r="X809" s="5"/>
      <c r="Y809" s="6"/>
      <c r="Z809" s="5"/>
    </row>
    <row r="810">
      <c r="E810" s="21"/>
      <c r="G810" s="13"/>
      <c r="I810" s="13"/>
      <c r="J810" s="17"/>
      <c r="K810" s="20"/>
      <c r="M810" s="13"/>
      <c r="N810" s="22"/>
      <c r="O810" s="13"/>
      <c r="R810" s="13"/>
      <c r="S810" s="22"/>
      <c r="U810" s="23"/>
      <c r="V810" s="5"/>
      <c r="W810" s="5"/>
      <c r="X810" s="5"/>
      <c r="Y810" s="6"/>
      <c r="Z810" s="5"/>
    </row>
    <row r="811">
      <c r="E811" s="21"/>
      <c r="G811" s="13"/>
      <c r="I811" s="13"/>
      <c r="J811" s="17"/>
      <c r="K811" s="20"/>
      <c r="M811" s="13"/>
      <c r="N811" s="22"/>
      <c r="O811" s="13"/>
      <c r="R811" s="13"/>
      <c r="S811" s="22"/>
      <c r="U811" s="23"/>
      <c r="V811" s="5"/>
      <c r="W811" s="5"/>
      <c r="X811" s="5"/>
      <c r="Y811" s="6"/>
      <c r="Z811" s="5"/>
    </row>
    <row r="812">
      <c r="E812" s="21"/>
      <c r="G812" s="13"/>
      <c r="I812" s="13"/>
      <c r="J812" s="17"/>
      <c r="K812" s="20"/>
      <c r="M812" s="13"/>
      <c r="N812" s="22"/>
      <c r="O812" s="13"/>
      <c r="R812" s="13"/>
      <c r="S812" s="22"/>
      <c r="U812" s="23"/>
      <c r="V812" s="5"/>
      <c r="W812" s="5"/>
      <c r="X812" s="5"/>
      <c r="Y812" s="6"/>
      <c r="Z812" s="5"/>
    </row>
    <row r="813">
      <c r="E813" s="21"/>
      <c r="G813" s="13"/>
      <c r="I813" s="13"/>
      <c r="J813" s="17"/>
      <c r="K813" s="20"/>
      <c r="M813" s="13"/>
      <c r="N813" s="22"/>
      <c r="O813" s="13"/>
      <c r="R813" s="13"/>
      <c r="S813" s="22"/>
      <c r="U813" s="23"/>
      <c r="V813" s="5"/>
      <c r="W813" s="5"/>
      <c r="X813" s="5"/>
      <c r="Y813" s="6"/>
      <c r="Z813" s="5"/>
    </row>
    <row r="814">
      <c r="E814" s="21"/>
      <c r="G814" s="13"/>
      <c r="I814" s="13"/>
      <c r="J814" s="17"/>
      <c r="K814" s="20"/>
      <c r="M814" s="13"/>
      <c r="N814" s="22"/>
      <c r="O814" s="13"/>
      <c r="R814" s="13"/>
      <c r="S814" s="22"/>
      <c r="U814" s="23"/>
      <c r="V814" s="5"/>
      <c r="W814" s="5"/>
      <c r="X814" s="5"/>
      <c r="Y814" s="6"/>
      <c r="Z814" s="5"/>
    </row>
    <row r="815">
      <c r="E815" s="21"/>
      <c r="G815" s="13"/>
      <c r="I815" s="13"/>
      <c r="J815" s="17"/>
      <c r="K815" s="20"/>
      <c r="M815" s="13"/>
      <c r="N815" s="22"/>
      <c r="O815" s="13"/>
      <c r="R815" s="13"/>
      <c r="S815" s="22"/>
      <c r="U815" s="23"/>
      <c r="V815" s="5"/>
      <c r="W815" s="5"/>
      <c r="X815" s="5"/>
      <c r="Y815" s="6"/>
      <c r="Z815" s="5"/>
    </row>
    <row r="816">
      <c r="E816" s="21"/>
      <c r="G816" s="13"/>
      <c r="I816" s="13"/>
      <c r="J816" s="17"/>
      <c r="K816" s="20"/>
      <c r="M816" s="13"/>
      <c r="N816" s="22"/>
      <c r="O816" s="13"/>
      <c r="R816" s="13"/>
      <c r="S816" s="22"/>
      <c r="U816" s="23"/>
      <c r="V816" s="5"/>
      <c r="W816" s="5"/>
      <c r="X816" s="5"/>
      <c r="Y816" s="6"/>
      <c r="Z816" s="5"/>
    </row>
    <row r="817">
      <c r="E817" s="21"/>
      <c r="G817" s="13"/>
      <c r="I817" s="13"/>
      <c r="J817" s="17"/>
      <c r="K817" s="20"/>
      <c r="M817" s="13"/>
      <c r="N817" s="22"/>
      <c r="O817" s="13"/>
      <c r="R817" s="13"/>
      <c r="S817" s="22"/>
      <c r="U817" s="23"/>
      <c r="V817" s="5"/>
      <c r="W817" s="5"/>
      <c r="X817" s="5"/>
      <c r="Y817" s="6"/>
      <c r="Z817" s="5"/>
    </row>
    <row r="818">
      <c r="E818" s="21"/>
      <c r="G818" s="13"/>
      <c r="I818" s="13"/>
      <c r="J818" s="17"/>
      <c r="K818" s="20"/>
      <c r="M818" s="13"/>
      <c r="N818" s="22"/>
      <c r="O818" s="13"/>
      <c r="R818" s="13"/>
      <c r="S818" s="22"/>
      <c r="U818" s="23"/>
      <c r="V818" s="5"/>
      <c r="W818" s="5"/>
      <c r="X818" s="5"/>
      <c r="Y818" s="6"/>
      <c r="Z818" s="5"/>
    </row>
    <row r="819">
      <c r="E819" s="21"/>
      <c r="G819" s="13"/>
      <c r="I819" s="13"/>
      <c r="J819" s="17"/>
      <c r="K819" s="20"/>
      <c r="M819" s="13"/>
      <c r="N819" s="22"/>
      <c r="O819" s="13"/>
      <c r="R819" s="13"/>
      <c r="S819" s="22"/>
      <c r="U819" s="23"/>
      <c r="V819" s="5"/>
      <c r="W819" s="5"/>
      <c r="X819" s="5"/>
      <c r="Y819" s="6"/>
      <c r="Z819" s="5"/>
    </row>
    <row r="820">
      <c r="E820" s="21"/>
      <c r="G820" s="13"/>
      <c r="I820" s="13"/>
      <c r="J820" s="17"/>
      <c r="K820" s="20"/>
      <c r="M820" s="13"/>
      <c r="N820" s="22"/>
      <c r="O820" s="13"/>
      <c r="R820" s="13"/>
      <c r="S820" s="22"/>
      <c r="U820" s="23"/>
      <c r="V820" s="5"/>
      <c r="W820" s="5"/>
      <c r="X820" s="5"/>
      <c r="Y820" s="6"/>
      <c r="Z820" s="5"/>
    </row>
    <row r="821">
      <c r="E821" s="21"/>
      <c r="G821" s="13"/>
      <c r="I821" s="13"/>
      <c r="J821" s="17"/>
      <c r="K821" s="20"/>
      <c r="M821" s="13"/>
      <c r="N821" s="22"/>
      <c r="O821" s="13"/>
      <c r="R821" s="13"/>
      <c r="S821" s="22"/>
      <c r="U821" s="23"/>
      <c r="V821" s="5"/>
      <c r="W821" s="5"/>
      <c r="X821" s="5"/>
      <c r="Y821" s="6"/>
      <c r="Z821" s="5"/>
    </row>
    <row r="822">
      <c r="E822" s="21"/>
      <c r="G822" s="13"/>
      <c r="I822" s="13"/>
      <c r="J822" s="17"/>
      <c r="K822" s="20"/>
      <c r="M822" s="13"/>
      <c r="N822" s="22"/>
      <c r="O822" s="13"/>
      <c r="R822" s="13"/>
      <c r="S822" s="22"/>
      <c r="U822" s="23"/>
      <c r="V822" s="5"/>
      <c r="W822" s="5"/>
      <c r="X822" s="5"/>
      <c r="Y822" s="6"/>
      <c r="Z822" s="5"/>
    </row>
    <row r="823">
      <c r="E823" s="21"/>
      <c r="G823" s="13"/>
      <c r="I823" s="13"/>
      <c r="J823" s="17"/>
      <c r="K823" s="20"/>
      <c r="M823" s="13"/>
      <c r="N823" s="22"/>
      <c r="O823" s="13"/>
      <c r="R823" s="13"/>
      <c r="S823" s="22"/>
      <c r="U823" s="23"/>
      <c r="V823" s="5"/>
      <c r="W823" s="5"/>
      <c r="X823" s="5"/>
      <c r="Y823" s="6"/>
      <c r="Z823" s="5"/>
    </row>
    <row r="824">
      <c r="E824" s="21"/>
      <c r="G824" s="13"/>
      <c r="I824" s="13"/>
      <c r="J824" s="17"/>
      <c r="K824" s="20"/>
      <c r="M824" s="13"/>
      <c r="N824" s="22"/>
      <c r="O824" s="13"/>
      <c r="R824" s="13"/>
      <c r="S824" s="22"/>
      <c r="U824" s="23"/>
      <c r="V824" s="5"/>
      <c r="W824" s="5"/>
      <c r="X824" s="5"/>
      <c r="Y824" s="6"/>
      <c r="Z824" s="5"/>
    </row>
    <row r="825">
      <c r="E825" s="21"/>
      <c r="G825" s="13"/>
      <c r="I825" s="13"/>
      <c r="J825" s="17"/>
      <c r="K825" s="20"/>
      <c r="M825" s="13"/>
      <c r="N825" s="22"/>
      <c r="O825" s="13"/>
      <c r="R825" s="13"/>
      <c r="S825" s="22"/>
      <c r="U825" s="23"/>
      <c r="V825" s="5"/>
      <c r="W825" s="5"/>
      <c r="X825" s="5"/>
      <c r="Y825" s="6"/>
      <c r="Z825" s="5"/>
    </row>
    <row r="826">
      <c r="E826" s="21"/>
      <c r="G826" s="13"/>
      <c r="I826" s="13"/>
      <c r="J826" s="17"/>
      <c r="K826" s="20"/>
      <c r="M826" s="13"/>
      <c r="N826" s="22"/>
      <c r="O826" s="13"/>
      <c r="R826" s="13"/>
      <c r="S826" s="22"/>
      <c r="U826" s="23"/>
      <c r="V826" s="5"/>
      <c r="W826" s="5"/>
      <c r="X826" s="5"/>
      <c r="Y826" s="6"/>
      <c r="Z826" s="5"/>
    </row>
    <row r="827">
      <c r="E827" s="21"/>
      <c r="G827" s="13"/>
      <c r="I827" s="13"/>
      <c r="J827" s="17"/>
      <c r="K827" s="20"/>
      <c r="M827" s="13"/>
      <c r="N827" s="22"/>
      <c r="O827" s="13"/>
      <c r="R827" s="13"/>
      <c r="S827" s="22"/>
      <c r="U827" s="23"/>
      <c r="V827" s="5"/>
      <c r="W827" s="5"/>
      <c r="X827" s="5"/>
      <c r="Y827" s="6"/>
      <c r="Z827" s="5"/>
    </row>
    <row r="828">
      <c r="E828" s="21"/>
      <c r="G828" s="13"/>
      <c r="I828" s="13"/>
      <c r="J828" s="17"/>
      <c r="K828" s="20"/>
      <c r="M828" s="13"/>
      <c r="N828" s="22"/>
      <c r="O828" s="13"/>
      <c r="R828" s="13"/>
      <c r="S828" s="22"/>
      <c r="U828" s="23"/>
      <c r="V828" s="5"/>
      <c r="W828" s="5"/>
      <c r="X828" s="5"/>
      <c r="Y828" s="6"/>
      <c r="Z828" s="5"/>
    </row>
    <row r="829">
      <c r="E829" s="21"/>
      <c r="G829" s="13"/>
      <c r="I829" s="13"/>
      <c r="J829" s="17"/>
      <c r="K829" s="20"/>
      <c r="M829" s="13"/>
      <c r="N829" s="22"/>
      <c r="O829" s="13"/>
      <c r="R829" s="13"/>
      <c r="S829" s="22"/>
      <c r="U829" s="23"/>
      <c r="V829" s="5"/>
      <c r="W829" s="5"/>
      <c r="X829" s="5"/>
      <c r="Y829" s="6"/>
      <c r="Z829" s="5"/>
    </row>
    <row r="830">
      <c r="E830" s="21"/>
      <c r="G830" s="13"/>
      <c r="I830" s="13"/>
      <c r="J830" s="17"/>
      <c r="K830" s="20"/>
      <c r="M830" s="13"/>
      <c r="N830" s="22"/>
      <c r="O830" s="13"/>
      <c r="R830" s="13"/>
      <c r="S830" s="22"/>
      <c r="U830" s="23"/>
      <c r="V830" s="5"/>
      <c r="W830" s="5"/>
      <c r="X830" s="5"/>
      <c r="Y830" s="6"/>
      <c r="Z830" s="5"/>
    </row>
    <row r="831">
      <c r="E831" s="21"/>
      <c r="G831" s="13"/>
      <c r="I831" s="13"/>
      <c r="J831" s="17"/>
      <c r="K831" s="20"/>
      <c r="M831" s="13"/>
      <c r="N831" s="22"/>
      <c r="O831" s="13"/>
      <c r="R831" s="13"/>
      <c r="S831" s="22"/>
      <c r="U831" s="23"/>
      <c r="V831" s="5"/>
      <c r="W831" s="5"/>
      <c r="X831" s="5"/>
      <c r="Y831" s="6"/>
      <c r="Z831" s="5"/>
    </row>
    <row r="832">
      <c r="E832" s="21"/>
      <c r="G832" s="13"/>
      <c r="I832" s="13"/>
      <c r="J832" s="17"/>
      <c r="K832" s="20"/>
      <c r="M832" s="13"/>
      <c r="N832" s="22"/>
      <c r="O832" s="13"/>
      <c r="R832" s="13"/>
      <c r="S832" s="22"/>
      <c r="U832" s="23"/>
      <c r="V832" s="5"/>
      <c r="W832" s="5"/>
      <c r="X832" s="5"/>
      <c r="Y832" s="6"/>
      <c r="Z832" s="5"/>
    </row>
    <row r="833">
      <c r="E833" s="21"/>
      <c r="G833" s="13"/>
      <c r="I833" s="13"/>
      <c r="J833" s="17"/>
      <c r="K833" s="20"/>
      <c r="M833" s="13"/>
      <c r="N833" s="22"/>
      <c r="O833" s="13"/>
      <c r="R833" s="13"/>
      <c r="S833" s="22"/>
      <c r="U833" s="23"/>
      <c r="V833" s="5"/>
      <c r="W833" s="5"/>
      <c r="X833" s="5"/>
      <c r="Y833" s="6"/>
      <c r="Z833" s="5"/>
    </row>
    <row r="834">
      <c r="E834" s="21"/>
      <c r="G834" s="13"/>
      <c r="I834" s="13"/>
      <c r="J834" s="17"/>
      <c r="K834" s="20"/>
      <c r="M834" s="13"/>
      <c r="N834" s="22"/>
      <c r="O834" s="13"/>
      <c r="R834" s="13"/>
      <c r="S834" s="22"/>
      <c r="U834" s="23"/>
      <c r="V834" s="5"/>
      <c r="W834" s="5"/>
      <c r="X834" s="5"/>
      <c r="Y834" s="6"/>
      <c r="Z834" s="5"/>
    </row>
    <row r="835">
      <c r="E835" s="21"/>
      <c r="G835" s="13"/>
      <c r="I835" s="13"/>
      <c r="J835" s="17"/>
      <c r="K835" s="20"/>
      <c r="M835" s="13"/>
      <c r="N835" s="22"/>
      <c r="O835" s="13"/>
      <c r="R835" s="13"/>
      <c r="S835" s="22"/>
      <c r="U835" s="23"/>
      <c r="V835" s="5"/>
      <c r="W835" s="5"/>
      <c r="X835" s="5"/>
      <c r="Y835" s="6"/>
      <c r="Z835" s="5"/>
    </row>
    <row r="836">
      <c r="E836" s="21"/>
      <c r="G836" s="13"/>
      <c r="I836" s="13"/>
      <c r="J836" s="17"/>
      <c r="K836" s="20"/>
      <c r="M836" s="13"/>
      <c r="N836" s="22"/>
      <c r="O836" s="13"/>
      <c r="R836" s="13"/>
      <c r="S836" s="22"/>
      <c r="U836" s="23"/>
      <c r="V836" s="5"/>
      <c r="W836" s="5"/>
      <c r="X836" s="5"/>
      <c r="Y836" s="6"/>
      <c r="Z836" s="5"/>
    </row>
    <row r="837">
      <c r="E837" s="21"/>
      <c r="G837" s="13"/>
      <c r="I837" s="13"/>
      <c r="J837" s="17"/>
      <c r="K837" s="20"/>
      <c r="M837" s="13"/>
      <c r="N837" s="22"/>
      <c r="O837" s="13"/>
      <c r="R837" s="13"/>
      <c r="S837" s="22"/>
      <c r="U837" s="23"/>
      <c r="V837" s="5"/>
      <c r="W837" s="5"/>
      <c r="X837" s="5"/>
      <c r="Y837" s="6"/>
      <c r="Z837" s="5"/>
    </row>
    <row r="838">
      <c r="E838" s="21"/>
      <c r="G838" s="13"/>
      <c r="I838" s="13"/>
      <c r="J838" s="17"/>
      <c r="K838" s="20"/>
      <c r="M838" s="13"/>
      <c r="N838" s="22"/>
      <c r="O838" s="13"/>
      <c r="R838" s="13"/>
      <c r="S838" s="22"/>
      <c r="U838" s="23"/>
      <c r="V838" s="5"/>
      <c r="W838" s="5"/>
      <c r="X838" s="5"/>
      <c r="Y838" s="6"/>
      <c r="Z838" s="5"/>
    </row>
    <row r="839">
      <c r="E839" s="21"/>
      <c r="G839" s="13"/>
      <c r="I839" s="13"/>
      <c r="J839" s="17"/>
      <c r="K839" s="20"/>
      <c r="M839" s="13"/>
      <c r="N839" s="22"/>
      <c r="O839" s="13"/>
      <c r="R839" s="13"/>
      <c r="S839" s="22"/>
      <c r="U839" s="23"/>
      <c r="V839" s="5"/>
      <c r="W839" s="5"/>
      <c r="X839" s="5"/>
      <c r="Y839" s="6"/>
      <c r="Z839" s="5"/>
    </row>
    <row r="840">
      <c r="E840" s="21"/>
      <c r="G840" s="13"/>
      <c r="I840" s="13"/>
      <c r="J840" s="17"/>
      <c r="K840" s="20"/>
      <c r="M840" s="13"/>
      <c r="N840" s="22"/>
      <c r="O840" s="13"/>
      <c r="R840" s="13"/>
      <c r="S840" s="22"/>
      <c r="U840" s="23"/>
      <c r="V840" s="5"/>
      <c r="W840" s="5"/>
      <c r="X840" s="5"/>
      <c r="Y840" s="6"/>
      <c r="Z840" s="5"/>
    </row>
    <row r="841">
      <c r="E841" s="21"/>
      <c r="G841" s="13"/>
      <c r="I841" s="13"/>
      <c r="J841" s="17"/>
      <c r="K841" s="20"/>
      <c r="M841" s="13"/>
      <c r="N841" s="22"/>
      <c r="O841" s="13"/>
      <c r="R841" s="13"/>
      <c r="S841" s="22"/>
      <c r="U841" s="23"/>
      <c r="V841" s="5"/>
      <c r="W841" s="5"/>
      <c r="X841" s="5"/>
      <c r="Y841" s="6"/>
      <c r="Z841" s="5"/>
    </row>
    <row r="842">
      <c r="E842" s="21"/>
      <c r="G842" s="13"/>
      <c r="I842" s="13"/>
      <c r="J842" s="17"/>
      <c r="K842" s="20"/>
      <c r="M842" s="13"/>
      <c r="N842" s="22"/>
      <c r="O842" s="13"/>
      <c r="R842" s="13"/>
      <c r="S842" s="22"/>
      <c r="U842" s="23"/>
      <c r="V842" s="5"/>
      <c r="W842" s="5"/>
      <c r="X842" s="5"/>
      <c r="Y842" s="6"/>
      <c r="Z842" s="5"/>
    </row>
    <row r="843">
      <c r="E843" s="21"/>
      <c r="G843" s="13"/>
      <c r="I843" s="13"/>
      <c r="J843" s="17"/>
      <c r="K843" s="20"/>
      <c r="M843" s="13"/>
      <c r="N843" s="22"/>
      <c r="O843" s="13"/>
      <c r="R843" s="13"/>
      <c r="S843" s="22"/>
      <c r="U843" s="23"/>
      <c r="V843" s="5"/>
      <c r="W843" s="5"/>
      <c r="X843" s="5"/>
      <c r="Y843" s="6"/>
      <c r="Z843" s="5"/>
    </row>
    <row r="844">
      <c r="E844" s="21"/>
      <c r="G844" s="13"/>
      <c r="I844" s="13"/>
      <c r="J844" s="17"/>
      <c r="K844" s="20"/>
      <c r="M844" s="13"/>
      <c r="N844" s="22"/>
      <c r="O844" s="13"/>
      <c r="R844" s="13"/>
      <c r="S844" s="22"/>
      <c r="U844" s="23"/>
      <c r="V844" s="5"/>
      <c r="W844" s="5"/>
      <c r="X844" s="5"/>
      <c r="Y844" s="6"/>
      <c r="Z844" s="5"/>
    </row>
    <row r="845">
      <c r="E845" s="21"/>
      <c r="G845" s="13"/>
      <c r="I845" s="13"/>
      <c r="J845" s="17"/>
      <c r="K845" s="20"/>
      <c r="M845" s="13"/>
      <c r="N845" s="22"/>
      <c r="O845" s="13"/>
      <c r="R845" s="13"/>
      <c r="S845" s="22"/>
      <c r="U845" s="23"/>
      <c r="V845" s="5"/>
      <c r="W845" s="5"/>
      <c r="X845" s="5"/>
      <c r="Y845" s="6"/>
      <c r="Z845" s="5"/>
    </row>
    <row r="846">
      <c r="E846" s="21"/>
      <c r="G846" s="13"/>
      <c r="I846" s="13"/>
      <c r="J846" s="17"/>
      <c r="K846" s="20"/>
      <c r="M846" s="13"/>
      <c r="N846" s="22"/>
      <c r="O846" s="13"/>
      <c r="R846" s="13"/>
      <c r="S846" s="22"/>
      <c r="U846" s="23"/>
      <c r="V846" s="5"/>
      <c r="W846" s="5"/>
      <c r="X846" s="5"/>
      <c r="Y846" s="6"/>
      <c r="Z846" s="5"/>
    </row>
    <row r="847">
      <c r="E847" s="21"/>
      <c r="G847" s="13"/>
      <c r="I847" s="13"/>
      <c r="J847" s="17"/>
      <c r="K847" s="20"/>
      <c r="M847" s="13"/>
      <c r="N847" s="22"/>
      <c r="O847" s="13"/>
      <c r="R847" s="13"/>
      <c r="S847" s="22"/>
      <c r="U847" s="23"/>
      <c r="V847" s="5"/>
      <c r="W847" s="5"/>
      <c r="X847" s="5"/>
      <c r="Y847" s="6"/>
      <c r="Z847" s="5"/>
    </row>
    <row r="848">
      <c r="E848" s="21"/>
      <c r="G848" s="13"/>
      <c r="I848" s="13"/>
      <c r="J848" s="17"/>
      <c r="K848" s="20"/>
      <c r="M848" s="13"/>
      <c r="N848" s="22"/>
      <c r="O848" s="13"/>
      <c r="R848" s="13"/>
      <c r="S848" s="22"/>
      <c r="U848" s="23"/>
      <c r="V848" s="5"/>
      <c r="W848" s="5"/>
      <c r="X848" s="5"/>
      <c r="Y848" s="6"/>
      <c r="Z848" s="5"/>
    </row>
    <row r="849">
      <c r="E849" s="21"/>
      <c r="G849" s="13"/>
      <c r="I849" s="13"/>
      <c r="J849" s="17"/>
      <c r="K849" s="20"/>
      <c r="M849" s="13"/>
      <c r="N849" s="22"/>
      <c r="O849" s="13"/>
      <c r="R849" s="13"/>
      <c r="S849" s="22"/>
      <c r="U849" s="23"/>
      <c r="V849" s="5"/>
      <c r="W849" s="5"/>
      <c r="X849" s="5"/>
      <c r="Y849" s="6"/>
      <c r="Z849" s="5"/>
    </row>
    <row r="850">
      <c r="E850" s="21"/>
      <c r="G850" s="13"/>
      <c r="I850" s="13"/>
      <c r="J850" s="17"/>
      <c r="K850" s="20"/>
      <c r="M850" s="13"/>
      <c r="N850" s="22"/>
      <c r="O850" s="13"/>
      <c r="R850" s="13"/>
      <c r="S850" s="22"/>
      <c r="U850" s="23"/>
      <c r="V850" s="5"/>
      <c r="W850" s="5"/>
      <c r="X850" s="5"/>
      <c r="Y850" s="6"/>
      <c r="Z850" s="5"/>
    </row>
    <row r="851">
      <c r="E851" s="21"/>
      <c r="G851" s="13"/>
      <c r="I851" s="13"/>
      <c r="J851" s="17"/>
      <c r="K851" s="20"/>
      <c r="M851" s="13"/>
      <c r="N851" s="22"/>
      <c r="O851" s="13"/>
      <c r="R851" s="13"/>
      <c r="S851" s="22"/>
      <c r="U851" s="23"/>
      <c r="V851" s="5"/>
      <c r="W851" s="5"/>
      <c r="X851" s="5"/>
      <c r="Y851" s="6"/>
      <c r="Z851" s="5"/>
    </row>
    <row r="852">
      <c r="E852" s="21"/>
      <c r="G852" s="13"/>
      <c r="I852" s="13"/>
      <c r="J852" s="17"/>
      <c r="K852" s="20"/>
      <c r="M852" s="13"/>
      <c r="N852" s="22"/>
      <c r="O852" s="13"/>
      <c r="R852" s="13"/>
      <c r="S852" s="22"/>
      <c r="U852" s="23"/>
      <c r="V852" s="5"/>
      <c r="W852" s="5"/>
      <c r="X852" s="5"/>
      <c r="Y852" s="6"/>
      <c r="Z852" s="5"/>
    </row>
    <row r="853">
      <c r="E853" s="21"/>
      <c r="G853" s="13"/>
      <c r="I853" s="13"/>
      <c r="J853" s="17"/>
      <c r="K853" s="20"/>
      <c r="M853" s="13"/>
      <c r="N853" s="22"/>
      <c r="O853" s="13"/>
      <c r="R853" s="13"/>
      <c r="S853" s="22"/>
      <c r="U853" s="23"/>
      <c r="V853" s="5"/>
      <c r="W853" s="5"/>
      <c r="X853" s="5"/>
      <c r="Y853" s="6"/>
      <c r="Z853" s="5"/>
    </row>
    <row r="854">
      <c r="E854" s="21"/>
      <c r="G854" s="13"/>
      <c r="I854" s="13"/>
      <c r="J854" s="17"/>
      <c r="K854" s="20"/>
      <c r="M854" s="13"/>
      <c r="N854" s="22"/>
      <c r="O854" s="13"/>
      <c r="R854" s="13"/>
      <c r="S854" s="22"/>
      <c r="U854" s="23"/>
      <c r="V854" s="5"/>
      <c r="W854" s="5"/>
      <c r="X854" s="5"/>
      <c r="Y854" s="6"/>
      <c r="Z854" s="5"/>
    </row>
    <row r="855">
      <c r="E855" s="21"/>
      <c r="G855" s="13"/>
      <c r="I855" s="13"/>
      <c r="J855" s="17"/>
      <c r="K855" s="20"/>
      <c r="M855" s="13"/>
      <c r="N855" s="22"/>
      <c r="O855" s="13"/>
      <c r="R855" s="13"/>
      <c r="S855" s="22"/>
      <c r="U855" s="23"/>
      <c r="V855" s="5"/>
      <c r="W855" s="5"/>
      <c r="X855" s="5"/>
      <c r="Y855" s="6"/>
      <c r="Z855" s="5"/>
    </row>
    <row r="856">
      <c r="E856" s="21"/>
      <c r="G856" s="13"/>
      <c r="I856" s="13"/>
      <c r="J856" s="17"/>
      <c r="K856" s="20"/>
      <c r="M856" s="13"/>
      <c r="N856" s="22"/>
      <c r="O856" s="13"/>
      <c r="R856" s="13"/>
      <c r="S856" s="22"/>
      <c r="U856" s="23"/>
      <c r="V856" s="5"/>
      <c r="W856" s="5"/>
      <c r="X856" s="5"/>
      <c r="Y856" s="6"/>
      <c r="Z856" s="5"/>
    </row>
    <row r="857">
      <c r="E857" s="21"/>
      <c r="G857" s="13"/>
      <c r="I857" s="13"/>
      <c r="J857" s="17"/>
      <c r="K857" s="20"/>
      <c r="M857" s="13"/>
      <c r="N857" s="22"/>
      <c r="O857" s="13"/>
      <c r="R857" s="13"/>
      <c r="S857" s="22"/>
      <c r="U857" s="23"/>
      <c r="V857" s="5"/>
      <c r="W857" s="5"/>
      <c r="X857" s="5"/>
      <c r="Y857" s="6"/>
      <c r="Z857" s="5"/>
    </row>
    <row r="858">
      <c r="E858" s="21"/>
      <c r="G858" s="13"/>
      <c r="I858" s="13"/>
      <c r="J858" s="17"/>
      <c r="K858" s="20"/>
      <c r="M858" s="13"/>
      <c r="N858" s="22"/>
      <c r="O858" s="13"/>
      <c r="R858" s="13"/>
      <c r="S858" s="22"/>
      <c r="U858" s="23"/>
      <c r="V858" s="5"/>
      <c r="W858" s="5"/>
      <c r="X858" s="5"/>
      <c r="Y858" s="6"/>
      <c r="Z858" s="5"/>
    </row>
    <row r="859">
      <c r="E859" s="21"/>
      <c r="G859" s="13"/>
      <c r="I859" s="13"/>
      <c r="J859" s="17"/>
      <c r="K859" s="20"/>
      <c r="M859" s="13"/>
      <c r="N859" s="22"/>
      <c r="O859" s="13"/>
      <c r="R859" s="13"/>
      <c r="S859" s="22"/>
      <c r="U859" s="23"/>
      <c r="V859" s="5"/>
      <c r="W859" s="5"/>
      <c r="X859" s="5"/>
      <c r="Y859" s="6"/>
      <c r="Z859" s="5"/>
    </row>
    <row r="860">
      <c r="E860" s="21"/>
      <c r="G860" s="13"/>
      <c r="I860" s="13"/>
      <c r="J860" s="17"/>
      <c r="K860" s="20"/>
      <c r="M860" s="13"/>
      <c r="N860" s="22"/>
      <c r="O860" s="13"/>
      <c r="R860" s="13"/>
      <c r="S860" s="22"/>
      <c r="U860" s="23"/>
      <c r="V860" s="5"/>
      <c r="W860" s="5"/>
      <c r="X860" s="5"/>
      <c r="Y860" s="6"/>
      <c r="Z860" s="5"/>
    </row>
    <row r="861">
      <c r="E861" s="21"/>
      <c r="G861" s="13"/>
      <c r="I861" s="13"/>
      <c r="J861" s="17"/>
      <c r="K861" s="20"/>
      <c r="M861" s="13"/>
      <c r="N861" s="22"/>
      <c r="O861" s="13"/>
      <c r="R861" s="13"/>
      <c r="S861" s="22"/>
      <c r="U861" s="23"/>
      <c r="V861" s="5"/>
      <c r="W861" s="5"/>
      <c r="X861" s="5"/>
      <c r="Y861" s="6"/>
      <c r="Z861" s="5"/>
    </row>
    <row r="862">
      <c r="E862" s="21"/>
      <c r="G862" s="13"/>
      <c r="I862" s="13"/>
      <c r="J862" s="17"/>
      <c r="K862" s="20"/>
      <c r="M862" s="13"/>
      <c r="N862" s="22"/>
      <c r="O862" s="13"/>
      <c r="R862" s="13"/>
      <c r="S862" s="22"/>
      <c r="U862" s="23"/>
      <c r="V862" s="5"/>
      <c r="W862" s="5"/>
      <c r="X862" s="5"/>
      <c r="Y862" s="6"/>
      <c r="Z862" s="5"/>
    </row>
    <row r="863">
      <c r="E863" s="21"/>
      <c r="G863" s="13"/>
      <c r="I863" s="13"/>
      <c r="J863" s="17"/>
      <c r="K863" s="20"/>
      <c r="M863" s="13"/>
      <c r="N863" s="22"/>
      <c r="O863" s="13"/>
      <c r="R863" s="13"/>
      <c r="S863" s="22"/>
      <c r="U863" s="23"/>
      <c r="V863" s="5"/>
      <c r="W863" s="5"/>
      <c r="X863" s="5"/>
      <c r="Y863" s="6"/>
      <c r="Z863" s="5"/>
    </row>
    <row r="864">
      <c r="E864" s="21"/>
      <c r="G864" s="13"/>
      <c r="I864" s="13"/>
      <c r="J864" s="17"/>
      <c r="K864" s="20"/>
      <c r="M864" s="13"/>
      <c r="N864" s="22"/>
      <c r="O864" s="13"/>
      <c r="R864" s="13"/>
      <c r="S864" s="22"/>
      <c r="U864" s="23"/>
      <c r="V864" s="5"/>
      <c r="W864" s="5"/>
      <c r="X864" s="5"/>
      <c r="Y864" s="6"/>
      <c r="Z864" s="5"/>
    </row>
    <row r="865">
      <c r="E865" s="21"/>
      <c r="G865" s="13"/>
      <c r="I865" s="13"/>
      <c r="J865" s="17"/>
      <c r="K865" s="20"/>
      <c r="M865" s="13"/>
      <c r="N865" s="22"/>
      <c r="O865" s="13"/>
      <c r="R865" s="13"/>
      <c r="S865" s="22"/>
      <c r="U865" s="23"/>
      <c r="V865" s="5"/>
      <c r="W865" s="5"/>
      <c r="X865" s="5"/>
      <c r="Y865" s="6"/>
      <c r="Z865" s="5"/>
    </row>
    <row r="866">
      <c r="E866" s="21"/>
      <c r="G866" s="13"/>
      <c r="I866" s="13"/>
      <c r="J866" s="17"/>
      <c r="K866" s="20"/>
      <c r="M866" s="13"/>
      <c r="N866" s="22"/>
      <c r="O866" s="13"/>
      <c r="R866" s="13"/>
      <c r="S866" s="22"/>
      <c r="U866" s="23"/>
      <c r="V866" s="5"/>
      <c r="W866" s="5"/>
      <c r="X866" s="5"/>
      <c r="Y866" s="6"/>
      <c r="Z866" s="5"/>
    </row>
    <row r="867">
      <c r="E867" s="21"/>
      <c r="G867" s="13"/>
      <c r="I867" s="13"/>
      <c r="J867" s="17"/>
      <c r="K867" s="20"/>
      <c r="M867" s="13"/>
      <c r="N867" s="22"/>
      <c r="O867" s="13"/>
      <c r="R867" s="13"/>
      <c r="S867" s="22"/>
      <c r="U867" s="23"/>
      <c r="V867" s="5"/>
      <c r="W867" s="5"/>
      <c r="X867" s="5"/>
      <c r="Y867" s="6"/>
      <c r="Z867" s="5"/>
    </row>
    <row r="868">
      <c r="E868" s="21"/>
      <c r="G868" s="13"/>
      <c r="I868" s="13"/>
      <c r="J868" s="17"/>
      <c r="K868" s="20"/>
      <c r="M868" s="13"/>
      <c r="N868" s="22"/>
      <c r="O868" s="13"/>
      <c r="R868" s="13"/>
      <c r="S868" s="22"/>
      <c r="U868" s="23"/>
      <c r="V868" s="5"/>
      <c r="W868" s="5"/>
      <c r="X868" s="5"/>
      <c r="Y868" s="6"/>
      <c r="Z868" s="5"/>
    </row>
    <row r="869">
      <c r="E869" s="21"/>
      <c r="G869" s="13"/>
      <c r="I869" s="13"/>
      <c r="J869" s="17"/>
      <c r="K869" s="20"/>
      <c r="M869" s="13"/>
      <c r="N869" s="22"/>
      <c r="O869" s="13"/>
      <c r="R869" s="13"/>
      <c r="S869" s="22"/>
      <c r="U869" s="23"/>
      <c r="V869" s="5"/>
      <c r="W869" s="5"/>
      <c r="X869" s="5"/>
      <c r="Y869" s="6"/>
      <c r="Z869" s="5"/>
    </row>
    <row r="870">
      <c r="E870" s="21"/>
      <c r="G870" s="13"/>
      <c r="I870" s="13"/>
      <c r="J870" s="17"/>
      <c r="K870" s="20"/>
      <c r="M870" s="13"/>
      <c r="N870" s="22"/>
      <c r="O870" s="13"/>
      <c r="R870" s="13"/>
      <c r="S870" s="22"/>
      <c r="U870" s="23"/>
      <c r="V870" s="5"/>
      <c r="W870" s="5"/>
      <c r="X870" s="5"/>
      <c r="Y870" s="6"/>
      <c r="Z870" s="5"/>
    </row>
    <row r="871">
      <c r="E871" s="21"/>
      <c r="G871" s="13"/>
      <c r="I871" s="13"/>
      <c r="J871" s="17"/>
      <c r="K871" s="20"/>
      <c r="M871" s="13"/>
      <c r="N871" s="22"/>
      <c r="O871" s="13"/>
      <c r="R871" s="13"/>
      <c r="S871" s="22"/>
      <c r="U871" s="23"/>
      <c r="V871" s="5"/>
      <c r="W871" s="5"/>
      <c r="X871" s="5"/>
      <c r="Y871" s="6"/>
      <c r="Z871" s="5"/>
    </row>
    <row r="872">
      <c r="E872" s="21"/>
      <c r="G872" s="13"/>
      <c r="I872" s="13"/>
      <c r="J872" s="17"/>
      <c r="K872" s="20"/>
      <c r="M872" s="13"/>
      <c r="N872" s="22"/>
      <c r="O872" s="13"/>
      <c r="R872" s="13"/>
      <c r="S872" s="22"/>
      <c r="U872" s="23"/>
      <c r="V872" s="5"/>
      <c r="W872" s="5"/>
      <c r="X872" s="5"/>
      <c r="Y872" s="6"/>
      <c r="Z872" s="5"/>
    </row>
    <row r="873">
      <c r="E873" s="21"/>
      <c r="G873" s="13"/>
      <c r="I873" s="13"/>
      <c r="J873" s="17"/>
      <c r="K873" s="20"/>
      <c r="M873" s="13"/>
      <c r="N873" s="22"/>
      <c r="O873" s="13"/>
      <c r="R873" s="13"/>
      <c r="S873" s="22"/>
      <c r="U873" s="23"/>
      <c r="V873" s="5"/>
      <c r="W873" s="5"/>
      <c r="X873" s="5"/>
      <c r="Y873" s="6"/>
      <c r="Z873" s="5"/>
    </row>
    <row r="874">
      <c r="E874" s="21"/>
      <c r="G874" s="13"/>
      <c r="I874" s="13"/>
      <c r="J874" s="17"/>
      <c r="K874" s="20"/>
      <c r="M874" s="13"/>
      <c r="N874" s="22"/>
      <c r="O874" s="13"/>
      <c r="R874" s="13"/>
      <c r="S874" s="22"/>
      <c r="U874" s="23"/>
      <c r="V874" s="5"/>
      <c r="W874" s="5"/>
      <c r="X874" s="5"/>
      <c r="Y874" s="6"/>
      <c r="Z874" s="5"/>
    </row>
    <row r="875">
      <c r="E875" s="21"/>
      <c r="G875" s="13"/>
      <c r="I875" s="13"/>
      <c r="J875" s="17"/>
      <c r="K875" s="20"/>
      <c r="M875" s="13"/>
      <c r="N875" s="22"/>
      <c r="O875" s="13"/>
      <c r="R875" s="13"/>
      <c r="S875" s="22"/>
      <c r="U875" s="23"/>
      <c r="V875" s="5"/>
      <c r="W875" s="5"/>
      <c r="X875" s="5"/>
      <c r="Y875" s="6"/>
      <c r="Z875" s="5"/>
    </row>
    <row r="876">
      <c r="E876" s="21"/>
      <c r="G876" s="13"/>
      <c r="I876" s="13"/>
      <c r="J876" s="17"/>
      <c r="K876" s="20"/>
      <c r="M876" s="13"/>
      <c r="N876" s="22"/>
      <c r="O876" s="13"/>
      <c r="R876" s="13"/>
      <c r="S876" s="22"/>
      <c r="U876" s="23"/>
      <c r="V876" s="5"/>
      <c r="W876" s="5"/>
      <c r="X876" s="5"/>
      <c r="Y876" s="6"/>
      <c r="Z876" s="5"/>
    </row>
    <row r="877">
      <c r="E877" s="21"/>
      <c r="G877" s="13"/>
      <c r="I877" s="13"/>
      <c r="J877" s="17"/>
      <c r="K877" s="20"/>
      <c r="M877" s="13"/>
      <c r="N877" s="22"/>
      <c r="O877" s="13"/>
      <c r="R877" s="13"/>
      <c r="S877" s="22"/>
      <c r="U877" s="23"/>
      <c r="V877" s="5"/>
      <c r="W877" s="5"/>
      <c r="X877" s="5"/>
      <c r="Y877" s="6"/>
      <c r="Z877" s="5"/>
    </row>
    <row r="878">
      <c r="E878" s="21"/>
      <c r="G878" s="13"/>
      <c r="I878" s="13"/>
      <c r="J878" s="17"/>
      <c r="K878" s="20"/>
      <c r="M878" s="13"/>
      <c r="N878" s="22"/>
      <c r="O878" s="13"/>
      <c r="R878" s="13"/>
      <c r="S878" s="22"/>
      <c r="U878" s="23"/>
      <c r="V878" s="5"/>
      <c r="W878" s="5"/>
      <c r="X878" s="5"/>
      <c r="Y878" s="6"/>
      <c r="Z878" s="5"/>
    </row>
    <row r="879">
      <c r="E879" s="21"/>
      <c r="G879" s="13"/>
      <c r="I879" s="13"/>
      <c r="J879" s="17"/>
      <c r="K879" s="20"/>
      <c r="M879" s="13"/>
      <c r="N879" s="22"/>
      <c r="O879" s="13"/>
      <c r="R879" s="13"/>
      <c r="S879" s="22"/>
      <c r="U879" s="23"/>
      <c r="V879" s="5"/>
      <c r="W879" s="5"/>
      <c r="X879" s="5"/>
      <c r="Y879" s="6"/>
      <c r="Z879" s="5"/>
    </row>
    <row r="880">
      <c r="E880" s="21"/>
      <c r="G880" s="13"/>
      <c r="I880" s="13"/>
      <c r="J880" s="17"/>
      <c r="K880" s="20"/>
      <c r="M880" s="13"/>
      <c r="N880" s="22"/>
      <c r="O880" s="13"/>
      <c r="R880" s="13"/>
      <c r="S880" s="22"/>
      <c r="U880" s="23"/>
      <c r="V880" s="5"/>
      <c r="W880" s="5"/>
      <c r="X880" s="5"/>
      <c r="Y880" s="6"/>
      <c r="Z880" s="5"/>
    </row>
    <row r="881">
      <c r="E881" s="21"/>
      <c r="G881" s="13"/>
      <c r="I881" s="13"/>
      <c r="J881" s="17"/>
      <c r="K881" s="20"/>
      <c r="M881" s="13"/>
      <c r="N881" s="22"/>
      <c r="O881" s="13"/>
      <c r="R881" s="13"/>
      <c r="S881" s="22"/>
      <c r="U881" s="23"/>
      <c r="V881" s="5"/>
      <c r="W881" s="5"/>
      <c r="X881" s="5"/>
      <c r="Y881" s="6"/>
      <c r="Z881" s="5"/>
    </row>
    <row r="882">
      <c r="E882" s="21"/>
      <c r="G882" s="13"/>
      <c r="I882" s="13"/>
      <c r="J882" s="17"/>
      <c r="K882" s="20"/>
      <c r="M882" s="13"/>
      <c r="N882" s="22"/>
      <c r="O882" s="13"/>
      <c r="R882" s="13"/>
      <c r="S882" s="22"/>
      <c r="U882" s="23"/>
      <c r="V882" s="5"/>
      <c r="W882" s="5"/>
      <c r="X882" s="5"/>
      <c r="Y882" s="6"/>
      <c r="Z882" s="5"/>
    </row>
    <row r="883">
      <c r="E883" s="21"/>
      <c r="G883" s="13"/>
      <c r="I883" s="13"/>
      <c r="J883" s="17"/>
      <c r="K883" s="20"/>
      <c r="M883" s="13"/>
      <c r="N883" s="22"/>
      <c r="O883" s="13"/>
      <c r="R883" s="13"/>
      <c r="S883" s="22"/>
      <c r="U883" s="23"/>
      <c r="V883" s="5"/>
      <c r="W883" s="5"/>
      <c r="X883" s="5"/>
      <c r="Y883" s="6"/>
      <c r="Z883" s="5"/>
    </row>
    <row r="884">
      <c r="E884" s="21"/>
      <c r="G884" s="13"/>
      <c r="I884" s="13"/>
      <c r="J884" s="17"/>
      <c r="K884" s="20"/>
      <c r="M884" s="13"/>
      <c r="N884" s="22"/>
      <c r="O884" s="13"/>
      <c r="R884" s="13"/>
      <c r="S884" s="22"/>
      <c r="U884" s="23"/>
      <c r="V884" s="5"/>
      <c r="W884" s="5"/>
      <c r="X884" s="5"/>
      <c r="Y884" s="6"/>
      <c r="Z884" s="5"/>
    </row>
    <row r="885">
      <c r="E885" s="21"/>
      <c r="G885" s="13"/>
      <c r="I885" s="13"/>
      <c r="J885" s="17"/>
      <c r="K885" s="20"/>
      <c r="M885" s="13"/>
      <c r="N885" s="22"/>
      <c r="O885" s="13"/>
      <c r="R885" s="13"/>
      <c r="S885" s="22"/>
      <c r="U885" s="23"/>
      <c r="V885" s="5"/>
      <c r="W885" s="5"/>
      <c r="X885" s="5"/>
      <c r="Y885" s="6"/>
      <c r="Z885" s="5"/>
    </row>
    <row r="886">
      <c r="E886" s="21"/>
      <c r="G886" s="13"/>
      <c r="I886" s="13"/>
      <c r="J886" s="17"/>
      <c r="K886" s="20"/>
      <c r="M886" s="13"/>
      <c r="N886" s="22"/>
      <c r="O886" s="13"/>
      <c r="R886" s="13"/>
      <c r="S886" s="22"/>
      <c r="U886" s="23"/>
      <c r="V886" s="5"/>
      <c r="W886" s="5"/>
      <c r="X886" s="5"/>
      <c r="Y886" s="6"/>
      <c r="Z886" s="5"/>
    </row>
    <row r="887">
      <c r="E887" s="21"/>
      <c r="G887" s="13"/>
      <c r="I887" s="13"/>
      <c r="J887" s="17"/>
      <c r="K887" s="20"/>
      <c r="M887" s="13"/>
      <c r="N887" s="22"/>
      <c r="O887" s="13"/>
      <c r="R887" s="13"/>
      <c r="S887" s="22"/>
      <c r="U887" s="23"/>
      <c r="V887" s="5"/>
      <c r="W887" s="5"/>
      <c r="X887" s="5"/>
      <c r="Y887" s="6"/>
      <c r="Z887" s="5"/>
    </row>
    <row r="888">
      <c r="E888" s="21"/>
      <c r="G888" s="13"/>
      <c r="I888" s="13"/>
      <c r="J888" s="17"/>
      <c r="K888" s="20"/>
      <c r="M888" s="13"/>
      <c r="N888" s="22"/>
      <c r="O888" s="13"/>
      <c r="R888" s="13"/>
      <c r="S888" s="22"/>
      <c r="U888" s="23"/>
      <c r="V888" s="5"/>
      <c r="W888" s="5"/>
      <c r="X888" s="5"/>
      <c r="Y888" s="6"/>
      <c r="Z888" s="5"/>
    </row>
    <row r="889">
      <c r="E889" s="21"/>
      <c r="G889" s="13"/>
      <c r="I889" s="13"/>
      <c r="J889" s="17"/>
      <c r="K889" s="20"/>
      <c r="M889" s="13"/>
      <c r="N889" s="22"/>
      <c r="O889" s="13"/>
      <c r="R889" s="13"/>
      <c r="S889" s="22"/>
      <c r="U889" s="23"/>
      <c r="V889" s="5"/>
      <c r="W889" s="5"/>
      <c r="X889" s="5"/>
      <c r="Y889" s="6"/>
      <c r="Z889" s="5"/>
    </row>
    <row r="890">
      <c r="E890" s="21"/>
      <c r="G890" s="13"/>
      <c r="I890" s="13"/>
      <c r="J890" s="17"/>
      <c r="K890" s="20"/>
      <c r="M890" s="13"/>
      <c r="N890" s="22"/>
      <c r="O890" s="13"/>
      <c r="R890" s="13"/>
      <c r="S890" s="22"/>
      <c r="U890" s="23"/>
      <c r="V890" s="5"/>
      <c r="W890" s="5"/>
      <c r="X890" s="5"/>
      <c r="Y890" s="6"/>
      <c r="Z890" s="5"/>
    </row>
    <row r="891">
      <c r="E891" s="21"/>
      <c r="G891" s="13"/>
      <c r="I891" s="13"/>
      <c r="J891" s="17"/>
      <c r="K891" s="20"/>
      <c r="M891" s="13"/>
      <c r="N891" s="22"/>
      <c r="O891" s="13"/>
      <c r="R891" s="13"/>
      <c r="S891" s="22"/>
      <c r="U891" s="23"/>
      <c r="V891" s="5"/>
      <c r="W891" s="5"/>
      <c r="X891" s="5"/>
      <c r="Y891" s="6"/>
      <c r="Z891" s="5"/>
    </row>
    <row r="892">
      <c r="E892" s="21"/>
      <c r="G892" s="13"/>
      <c r="I892" s="13"/>
      <c r="J892" s="17"/>
      <c r="K892" s="20"/>
      <c r="M892" s="13"/>
      <c r="N892" s="22"/>
      <c r="O892" s="13"/>
      <c r="R892" s="13"/>
      <c r="S892" s="22"/>
      <c r="U892" s="23"/>
      <c r="V892" s="5"/>
      <c r="W892" s="5"/>
      <c r="X892" s="5"/>
      <c r="Y892" s="6"/>
      <c r="Z892" s="5"/>
    </row>
    <row r="893">
      <c r="E893" s="21"/>
      <c r="G893" s="13"/>
      <c r="I893" s="13"/>
      <c r="J893" s="17"/>
      <c r="K893" s="20"/>
      <c r="M893" s="13"/>
      <c r="N893" s="22"/>
      <c r="O893" s="13"/>
      <c r="R893" s="13"/>
      <c r="S893" s="22"/>
      <c r="U893" s="23"/>
      <c r="V893" s="5"/>
      <c r="W893" s="5"/>
      <c r="X893" s="5"/>
      <c r="Y893" s="6"/>
      <c r="Z893" s="5"/>
    </row>
    <row r="894">
      <c r="E894" s="21"/>
      <c r="G894" s="13"/>
      <c r="I894" s="13"/>
      <c r="J894" s="17"/>
      <c r="K894" s="20"/>
      <c r="M894" s="13"/>
      <c r="N894" s="22"/>
      <c r="O894" s="13"/>
      <c r="R894" s="13"/>
      <c r="S894" s="22"/>
      <c r="U894" s="23"/>
      <c r="V894" s="5"/>
      <c r="W894" s="5"/>
      <c r="X894" s="5"/>
      <c r="Y894" s="6"/>
      <c r="Z894" s="5"/>
    </row>
    <row r="895">
      <c r="E895" s="21"/>
      <c r="G895" s="13"/>
      <c r="I895" s="13"/>
      <c r="J895" s="17"/>
      <c r="K895" s="20"/>
      <c r="M895" s="13"/>
      <c r="N895" s="22"/>
      <c r="O895" s="13"/>
      <c r="R895" s="13"/>
      <c r="S895" s="22"/>
      <c r="U895" s="23"/>
      <c r="V895" s="5"/>
      <c r="W895" s="5"/>
      <c r="X895" s="5"/>
      <c r="Y895" s="6"/>
      <c r="Z895" s="5"/>
    </row>
    <row r="896">
      <c r="E896" s="21"/>
      <c r="G896" s="13"/>
      <c r="I896" s="13"/>
      <c r="J896" s="17"/>
      <c r="K896" s="20"/>
      <c r="M896" s="13"/>
      <c r="N896" s="22"/>
      <c r="O896" s="13"/>
      <c r="R896" s="13"/>
      <c r="S896" s="22"/>
      <c r="U896" s="23"/>
      <c r="V896" s="5"/>
      <c r="W896" s="5"/>
      <c r="X896" s="5"/>
      <c r="Y896" s="6"/>
      <c r="Z896" s="5"/>
    </row>
    <row r="897">
      <c r="E897" s="21"/>
      <c r="G897" s="13"/>
      <c r="I897" s="13"/>
      <c r="J897" s="17"/>
      <c r="K897" s="20"/>
      <c r="M897" s="13"/>
      <c r="N897" s="22"/>
      <c r="O897" s="13"/>
      <c r="R897" s="13"/>
      <c r="S897" s="22"/>
      <c r="U897" s="23"/>
      <c r="V897" s="5"/>
      <c r="W897" s="5"/>
      <c r="X897" s="5"/>
      <c r="Y897" s="6"/>
      <c r="Z897" s="5"/>
    </row>
    <row r="898">
      <c r="E898" s="21"/>
      <c r="G898" s="13"/>
      <c r="I898" s="13"/>
      <c r="J898" s="17"/>
      <c r="K898" s="20"/>
      <c r="M898" s="13"/>
      <c r="N898" s="22"/>
      <c r="O898" s="13"/>
      <c r="R898" s="13"/>
      <c r="S898" s="22"/>
      <c r="U898" s="23"/>
      <c r="V898" s="5"/>
      <c r="W898" s="5"/>
      <c r="X898" s="5"/>
      <c r="Y898" s="6"/>
      <c r="Z898" s="5"/>
    </row>
    <row r="899">
      <c r="E899" s="21"/>
      <c r="G899" s="13"/>
      <c r="I899" s="13"/>
      <c r="J899" s="17"/>
      <c r="K899" s="20"/>
      <c r="M899" s="13"/>
      <c r="N899" s="22"/>
      <c r="O899" s="13"/>
      <c r="R899" s="13"/>
      <c r="S899" s="22"/>
      <c r="U899" s="23"/>
      <c r="V899" s="5"/>
      <c r="W899" s="5"/>
      <c r="X899" s="5"/>
      <c r="Y899" s="6"/>
      <c r="Z899" s="5"/>
    </row>
    <row r="900">
      <c r="E900" s="21"/>
      <c r="G900" s="13"/>
      <c r="I900" s="13"/>
      <c r="J900" s="17"/>
      <c r="K900" s="20"/>
      <c r="M900" s="13"/>
      <c r="N900" s="22"/>
      <c r="O900" s="13"/>
      <c r="R900" s="13"/>
      <c r="S900" s="22"/>
      <c r="U900" s="23"/>
      <c r="V900" s="5"/>
      <c r="W900" s="5"/>
      <c r="X900" s="5"/>
      <c r="Y900" s="6"/>
      <c r="Z900" s="5"/>
    </row>
    <row r="901">
      <c r="E901" s="21"/>
      <c r="G901" s="13"/>
      <c r="I901" s="13"/>
      <c r="J901" s="17"/>
      <c r="K901" s="20"/>
      <c r="M901" s="13"/>
      <c r="N901" s="22"/>
      <c r="O901" s="13"/>
      <c r="R901" s="13"/>
      <c r="S901" s="22"/>
      <c r="U901" s="23"/>
      <c r="V901" s="5"/>
      <c r="W901" s="5"/>
      <c r="X901" s="5"/>
      <c r="Y901" s="6"/>
      <c r="Z901" s="5"/>
    </row>
    <row r="902">
      <c r="E902" s="21"/>
      <c r="G902" s="13"/>
      <c r="I902" s="13"/>
      <c r="J902" s="17"/>
      <c r="K902" s="20"/>
      <c r="M902" s="13"/>
      <c r="N902" s="22"/>
      <c r="O902" s="13"/>
      <c r="R902" s="13"/>
      <c r="S902" s="22"/>
      <c r="U902" s="23"/>
      <c r="V902" s="5"/>
      <c r="W902" s="5"/>
      <c r="X902" s="5"/>
      <c r="Y902" s="6"/>
      <c r="Z902" s="5"/>
    </row>
    <row r="903">
      <c r="E903" s="21"/>
      <c r="G903" s="13"/>
      <c r="I903" s="13"/>
      <c r="J903" s="17"/>
      <c r="K903" s="20"/>
      <c r="M903" s="13"/>
      <c r="N903" s="22"/>
      <c r="O903" s="13"/>
      <c r="R903" s="13"/>
      <c r="S903" s="22"/>
      <c r="U903" s="23"/>
      <c r="V903" s="5"/>
      <c r="W903" s="5"/>
      <c r="X903" s="5"/>
      <c r="Y903" s="6"/>
      <c r="Z903" s="5"/>
    </row>
    <row r="904">
      <c r="E904" s="21"/>
      <c r="G904" s="13"/>
      <c r="I904" s="13"/>
      <c r="J904" s="17"/>
      <c r="K904" s="20"/>
      <c r="M904" s="13"/>
      <c r="N904" s="22"/>
      <c r="O904" s="13"/>
      <c r="R904" s="13"/>
      <c r="S904" s="22"/>
      <c r="U904" s="23"/>
      <c r="V904" s="5"/>
      <c r="W904" s="5"/>
      <c r="X904" s="5"/>
      <c r="Y904" s="6"/>
      <c r="Z904" s="5"/>
    </row>
    <row r="905">
      <c r="E905" s="21"/>
      <c r="G905" s="13"/>
      <c r="I905" s="13"/>
      <c r="J905" s="17"/>
      <c r="K905" s="20"/>
      <c r="M905" s="13"/>
      <c r="N905" s="22"/>
      <c r="O905" s="13"/>
      <c r="R905" s="13"/>
      <c r="S905" s="22"/>
      <c r="U905" s="23"/>
      <c r="V905" s="5"/>
      <c r="W905" s="5"/>
      <c r="X905" s="5"/>
      <c r="Y905" s="6"/>
      <c r="Z905" s="5"/>
    </row>
    <row r="906">
      <c r="E906" s="21"/>
      <c r="G906" s="13"/>
      <c r="I906" s="13"/>
      <c r="J906" s="17"/>
      <c r="K906" s="20"/>
      <c r="M906" s="13"/>
      <c r="N906" s="22"/>
      <c r="O906" s="13"/>
      <c r="R906" s="13"/>
      <c r="S906" s="22"/>
      <c r="U906" s="23"/>
      <c r="V906" s="5"/>
      <c r="W906" s="5"/>
      <c r="X906" s="5"/>
      <c r="Y906" s="6"/>
      <c r="Z906" s="5"/>
    </row>
    <row r="907">
      <c r="E907" s="21"/>
      <c r="G907" s="13"/>
      <c r="I907" s="13"/>
      <c r="J907" s="17"/>
      <c r="K907" s="20"/>
      <c r="M907" s="13"/>
      <c r="N907" s="22"/>
      <c r="O907" s="13"/>
      <c r="R907" s="13"/>
      <c r="S907" s="22"/>
      <c r="U907" s="23"/>
      <c r="V907" s="5"/>
      <c r="W907" s="5"/>
      <c r="X907" s="5"/>
      <c r="Y907" s="6"/>
      <c r="Z907" s="5"/>
    </row>
    <row r="908">
      <c r="E908" s="21"/>
      <c r="G908" s="13"/>
      <c r="I908" s="13"/>
      <c r="J908" s="17"/>
      <c r="K908" s="20"/>
      <c r="M908" s="13"/>
      <c r="N908" s="22"/>
      <c r="O908" s="13"/>
      <c r="R908" s="13"/>
      <c r="S908" s="22"/>
      <c r="U908" s="23"/>
      <c r="V908" s="5"/>
      <c r="W908" s="5"/>
      <c r="X908" s="5"/>
      <c r="Y908" s="6"/>
      <c r="Z908" s="5"/>
    </row>
    <row r="909">
      <c r="E909" s="21"/>
      <c r="G909" s="13"/>
      <c r="I909" s="13"/>
      <c r="J909" s="17"/>
      <c r="K909" s="20"/>
      <c r="M909" s="13"/>
      <c r="N909" s="22"/>
      <c r="O909" s="13"/>
      <c r="R909" s="13"/>
      <c r="S909" s="22"/>
      <c r="U909" s="23"/>
      <c r="V909" s="5"/>
      <c r="W909" s="5"/>
      <c r="X909" s="5"/>
      <c r="Y909" s="6"/>
      <c r="Z909" s="5"/>
    </row>
    <row r="910">
      <c r="E910" s="21"/>
      <c r="G910" s="13"/>
      <c r="I910" s="13"/>
      <c r="J910" s="17"/>
      <c r="K910" s="20"/>
      <c r="M910" s="13"/>
      <c r="N910" s="22"/>
      <c r="O910" s="13"/>
      <c r="R910" s="13"/>
      <c r="S910" s="22"/>
      <c r="U910" s="23"/>
      <c r="V910" s="5"/>
      <c r="W910" s="5"/>
      <c r="X910" s="5"/>
      <c r="Y910" s="6"/>
      <c r="Z910" s="5"/>
    </row>
    <row r="911">
      <c r="E911" s="21"/>
      <c r="G911" s="13"/>
      <c r="I911" s="13"/>
      <c r="J911" s="17"/>
      <c r="K911" s="20"/>
      <c r="M911" s="13"/>
      <c r="N911" s="22"/>
      <c r="O911" s="13"/>
      <c r="R911" s="13"/>
      <c r="S911" s="22"/>
      <c r="U911" s="23"/>
      <c r="V911" s="5"/>
      <c r="W911" s="5"/>
      <c r="X911" s="5"/>
      <c r="Y911" s="6"/>
      <c r="Z911" s="5"/>
    </row>
    <row r="912">
      <c r="E912" s="21"/>
      <c r="G912" s="13"/>
      <c r="I912" s="13"/>
      <c r="J912" s="17"/>
      <c r="K912" s="20"/>
      <c r="M912" s="13"/>
      <c r="N912" s="22"/>
      <c r="O912" s="13"/>
      <c r="R912" s="13"/>
      <c r="S912" s="22"/>
      <c r="U912" s="23"/>
      <c r="V912" s="5"/>
      <c r="W912" s="5"/>
      <c r="X912" s="5"/>
      <c r="Y912" s="6"/>
      <c r="Z912" s="5"/>
    </row>
    <row r="913">
      <c r="E913" s="21"/>
      <c r="G913" s="13"/>
      <c r="I913" s="13"/>
      <c r="J913" s="17"/>
      <c r="K913" s="20"/>
      <c r="M913" s="13"/>
      <c r="N913" s="22"/>
      <c r="O913" s="13"/>
      <c r="R913" s="13"/>
      <c r="S913" s="22"/>
      <c r="U913" s="23"/>
      <c r="V913" s="5"/>
      <c r="W913" s="5"/>
      <c r="X913" s="5"/>
      <c r="Y913" s="6"/>
      <c r="Z913" s="5"/>
    </row>
    <row r="914">
      <c r="E914" s="21"/>
      <c r="G914" s="13"/>
      <c r="I914" s="13"/>
      <c r="J914" s="17"/>
      <c r="K914" s="20"/>
      <c r="M914" s="13"/>
      <c r="N914" s="22"/>
      <c r="O914" s="13"/>
      <c r="R914" s="13"/>
      <c r="S914" s="22"/>
      <c r="U914" s="23"/>
      <c r="V914" s="5"/>
      <c r="W914" s="5"/>
      <c r="X914" s="5"/>
      <c r="Y914" s="6"/>
      <c r="Z914" s="5"/>
    </row>
    <row r="915">
      <c r="E915" s="21"/>
      <c r="G915" s="13"/>
      <c r="I915" s="13"/>
      <c r="J915" s="17"/>
      <c r="K915" s="20"/>
      <c r="M915" s="13"/>
      <c r="N915" s="22"/>
      <c r="O915" s="13"/>
      <c r="R915" s="13"/>
      <c r="S915" s="22"/>
      <c r="U915" s="23"/>
      <c r="V915" s="5"/>
      <c r="W915" s="5"/>
      <c r="X915" s="5"/>
      <c r="Y915" s="6"/>
      <c r="Z915" s="5"/>
    </row>
    <row r="916">
      <c r="E916" s="21"/>
      <c r="G916" s="13"/>
      <c r="I916" s="13"/>
      <c r="J916" s="17"/>
      <c r="K916" s="20"/>
      <c r="M916" s="13"/>
      <c r="N916" s="22"/>
      <c r="O916" s="13"/>
      <c r="R916" s="13"/>
      <c r="S916" s="22"/>
      <c r="U916" s="23"/>
      <c r="V916" s="5"/>
      <c r="W916" s="5"/>
      <c r="X916" s="5"/>
      <c r="Y916" s="6"/>
      <c r="Z916" s="5"/>
    </row>
    <row r="917">
      <c r="E917" s="21"/>
      <c r="G917" s="13"/>
      <c r="I917" s="13"/>
      <c r="J917" s="17"/>
      <c r="K917" s="20"/>
      <c r="M917" s="13"/>
      <c r="N917" s="22"/>
      <c r="O917" s="13"/>
      <c r="R917" s="13"/>
      <c r="S917" s="22"/>
      <c r="U917" s="23"/>
      <c r="V917" s="5"/>
      <c r="W917" s="5"/>
      <c r="X917" s="5"/>
      <c r="Y917" s="6"/>
      <c r="Z917" s="5"/>
    </row>
    <row r="918">
      <c r="E918" s="21"/>
      <c r="G918" s="13"/>
      <c r="I918" s="13"/>
      <c r="J918" s="17"/>
      <c r="K918" s="20"/>
      <c r="M918" s="13"/>
      <c r="N918" s="22"/>
      <c r="O918" s="13"/>
      <c r="R918" s="13"/>
      <c r="S918" s="22"/>
      <c r="U918" s="23"/>
      <c r="V918" s="5"/>
      <c r="W918" s="5"/>
      <c r="X918" s="5"/>
      <c r="Y918" s="6"/>
      <c r="Z918" s="5"/>
    </row>
    <row r="919">
      <c r="E919" s="21"/>
      <c r="G919" s="13"/>
      <c r="I919" s="13"/>
      <c r="J919" s="17"/>
      <c r="K919" s="20"/>
      <c r="M919" s="13"/>
      <c r="N919" s="22"/>
      <c r="O919" s="13"/>
      <c r="R919" s="13"/>
      <c r="S919" s="22"/>
      <c r="U919" s="23"/>
      <c r="V919" s="5"/>
      <c r="W919" s="5"/>
      <c r="X919" s="5"/>
      <c r="Y919" s="6"/>
      <c r="Z919" s="5"/>
    </row>
    <row r="920">
      <c r="E920" s="21"/>
      <c r="G920" s="13"/>
      <c r="I920" s="13"/>
      <c r="J920" s="17"/>
      <c r="K920" s="20"/>
      <c r="M920" s="13"/>
      <c r="N920" s="22"/>
      <c r="O920" s="13"/>
      <c r="R920" s="13"/>
      <c r="S920" s="22"/>
      <c r="U920" s="23"/>
      <c r="V920" s="5"/>
      <c r="W920" s="5"/>
      <c r="X920" s="5"/>
      <c r="Y920" s="6"/>
      <c r="Z920" s="5"/>
    </row>
    <row r="921">
      <c r="E921" s="21"/>
      <c r="G921" s="13"/>
      <c r="I921" s="13"/>
      <c r="J921" s="17"/>
      <c r="K921" s="20"/>
      <c r="M921" s="13"/>
      <c r="N921" s="22"/>
      <c r="O921" s="13"/>
      <c r="R921" s="13"/>
      <c r="S921" s="22"/>
      <c r="U921" s="23"/>
      <c r="V921" s="5"/>
      <c r="W921" s="5"/>
      <c r="X921" s="5"/>
      <c r="Y921" s="6"/>
      <c r="Z921" s="5"/>
    </row>
    <row r="922">
      <c r="E922" s="21"/>
      <c r="G922" s="13"/>
      <c r="I922" s="13"/>
      <c r="J922" s="17"/>
      <c r="K922" s="20"/>
      <c r="M922" s="13"/>
      <c r="N922" s="22"/>
      <c r="O922" s="13"/>
      <c r="R922" s="13"/>
      <c r="S922" s="22"/>
      <c r="U922" s="23"/>
      <c r="V922" s="5"/>
      <c r="W922" s="5"/>
      <c r="X922" s="5"/>
      <c r="Y922" s="6"/>
      <c r="Z922" s="5"/>
    </row>
    <row r="923">
      <c r="E923" s="21"/>
      <c r="G923" s="13"/>
      <c r="I923" s="13"/>
      <c r="J923" s="17"/>
      <c r="K923" s="20"/>
      <c r="M923" s="13"/>
      <c r="N923" s="22"/>
      <c r="O923" s="13"/>
      <c r="R923" s="13"/>
      <c r="S923" s="22"/>
      <c r="U923" s="23"/>
      <c r="V923" s="5"/>
      <c r="W923" s="5"/>
      <c r="X923" s="5"/>
      <c r="Y923" s="6"/>
      <c r="Z923" s="5"/>
    </row>
    <row r="924">
      <c r="E924" s="21"/>
      <c r="G924" s="13"/>
      <c r="I924" s="13"/>
      <c r="J924" s="17"/>
      <c r="K924" s="20"/>
      <c r="M924" s="13"/>
      <c r="N924" s="22"/>
      <c r="O924" s="13"/>
      <c r="R924" s="13"/>
      <c r="S924" s="22"/>
      <c r="U924" s="23"/>
      <c r="V924" s="5"/>
      <c r="W924" s="5"/>
      <c r="X924" s="5"/>
      <c r="Y924" s="6"/>
      <c r="Z924" s="5"/>
    </row>
    <row r="925">
      <c r="E925" s="21"/>
      <c r="G925" s="13"/>
      <c r="I925" s="13"/>
      <c r="J925" s="17"/>
      <c r="K925" s="20"/>
      <c r="M925" s="13"/>
      <c r="N925" s="22"/>
      <c r="O925" s="13"/>
      <c r="R925" s="13"/>
      <c r="S925" s="22"/>
      <c r="U925" s="23"/>
      <c r="V925" s="5"/>
      <c r="W925" s="5"/>
      <c r="X925" s="5"/>
      <c r="Y925" s="6"/>
      <c r="Z925" s="5"/>
    </row>
    <row r="926">
      <c r="E926" s="21"/>
      <c r="G926" s="13"/>
      <c r="I926" s="13"/>
      <c r="J926" s="17"/>
      <c r="K926" s="20"/>
      <c r="M926" s="13"/>
      <c r="N926" s="22"/>
      <c r="O926" s="13"/>
      <c r="R926" s="13"/>
      <c r="S926" s="22"/>
      <c r="U926" s="23"/>
      <c r="V926" s="5"/>
      <c r="W926" s="5"/>
      <c r="X926" s="5"/>
      <c r="Y926" s="6"/>
      <c r="Z926" s="5"/>
    </row>
    <row r="927">
      <c r="E927" s="21"/>
      <c r="G927" s="13"/>
      <c r="I927" s="13"/>
      <c r="J927" s="17"/>
      <c r="K927" s="20"/>
      <c r="M927" s="13"/>
      <c r="N927" s="22"/>
      <c r="O927" s="13"/>
      <c r="R927" s="13"/>
      <c r="S927" s="22"/>
      <c r="U927" s="23"/>
      <c r="V927" s="5"/>
      <c r="W927" s="5"/>
      <c r="X927" s="5"/>
      <c r="Y927" s="6"/>
      <c r="Z927" s="5"/>
    </row>
    <row r="928">
      <c r="E928" s="21"/>
      <c r="G928" s="13"/>
      <c r="I928" s="13"/>
      <c r="J928" s="17"/>
      <c r="K928" s="20"/>
      <c r="M928" s="13"/>
      <c r="N928" s="22"/>
      <c r="O928" s="13"/>
      <c r="R928" s="13"/>
      <c r="S928" s="22"/>
      <c r="U928" s="23"/>
      <c r="V928" s="5"/>
      <c r="W928" s="5"/>
      <c r="X928" s="5"/>
      <c r="Y928" s="6"/>
      <c r="Z928" s="5"/>
    </row>
    <row r="929">
      <c r="E929" s="21"/>
      <c r="G929" s="13"/>
      <c r="I929" s="13"/>
      <c r="J929" s="17"/>
      <c r="K929" s="20"/>
      <c r="M929" s="13"/>
      <c r="N929" s="22"/>
      <c r="O929" s="13"/>
      <c r="R929" s="13"/>
      <c r="S929" s="22"/>
      <c r="U929" s="23"/>
      <c r="V929" s="5"/>
      <c r="W929" s="5"/>
      <c r="X929" s="5"/>
      <c r="Y929" s="6"/>
      <c r="Z929" s="5"/>
    </row>
    <row r="930">
      <c r="E930" s="21"/>
      <c r="G930" s="13"/>
      <c r="I930" s="13"/>
      <c r="J930" s="17"/>
      <c r="K930" s="20"/>
      <c r="M930" s="13"/>
      <c r="N930" s="22"/>
      <c r="O930" s="13"/>
      <c r="R930" s="13"/>
      <c r="S930" s="22"/>
      <c r="U930" s="23"/>
      <c r="V930" s="5"/>
      <c r="W930" s="5"/>
      <c r="X930" s="5"/>
      <c r="Y930" s="6"/>
      <c r="Z930" s="5"/>
    </row>
    <row r="931">
      <c r="E931" s="21"/>
      <c r="G931" s="13"/>
      <c r="I931" s="13"/>
      <c r="J931" s="17"/>
      <c r="K931" s="20"/>
      <c r="M931" s="13"/>
      <c r="N931" s="22"/>
      <c r="O931" s="13"/>
      <c r="R931" s="13"/>
      <c r="S931" s="22"/>
      <c r="U931" s="23"/>
      <c r="V931" s="5"/>
      <c r="W931" s="5"/>
      <c r="X931" s="5"/>
      <c r="Y931" s="6"/>
      <c r="Z931" s="5"/>
    </row>
    <row r="932">
      <c r="E932" s="21"/>
      <c r="G932" s="13"/>
      <c r="I932" s="13"/>
      <c r="J932" s="17"/>
      <c r="K932" s="20"/>
      <c r="M932" s="13"/>
      <c r="N932" s="22"/>
      <c r="O932" s="13"/>
      <c r="R932" s="13"/>
      <c r="S932" s="22"/>
      <c r="U932" s="23"/>
      <c r="V932" s="5"/>
      <c r="W932" s="5"/>
      <c r="X932" s="5"/>
      <c r="Y932" s="6"/>
      <c r="Z932" s="5"/>
    </row>
    <row r="933">
      <c r="E933" s="21"/>
      <c r="G933" s="13"/>
      <c r="I933" s="13"/>
      <c r="J933" s="17"/>
      <c r="K933" s="20"/>
      <c r="M933" s="13"/>
      <c r="N933" s="22"/>
      <c r="O933" s="13"/>
      <c r="R933" s="13"/>
      <c r="S933" s="22"/>
      <c r="U933" s="23"/>
      <c r="V933" s="5"/>
      <c r="W933" s="5"/>
      <c r="X933" s="5"/>
      <c r="Y933" s="6"/>
      <c r="Z933" s="5"/>
    </row>
    <row r="934">
      <c r="E934" s="21"/>
      <c r="G934" s="13"/>
      <c r="I934" s="13"/>
      <c r="J934" s="17"/>
      <c r="K934" s="20"/>
      <c r="M934" s="13"/>
      <c r="N934" s="22"/>
      <c r="O934" s="13"/>
      <c r="R934" s="13"/>
      <c r="S934" s="22"/>
      <c r="U934" s="23"/>
      <c r="V934" s="5"/>
      <c r="W934" s="5"/>
      <c r="X934" s="5"/>
      <c r="Y934" s="6"/>
      <c r="Z934" s="5"/>
    </row>
    <row r="935">
      <c r="E935" s="21"/>
      <c r="G935" s="13"/>
      <c r="I935" s="13"/>
      <c r="J935" s="17"/>
      <c r="K935" s="20"/>
      <c r="M935" s="13"/>
      <c r="N935" s="22"/>
      <c r="O935" s="13"/>
      <c r="R935" s="13"/>
      <c r="S935" s="22"/>
      <c r="U935" s="23"/>
      <c r="V935" s="5"/>
      <c r="W935" s="5"/>
      <c r="X935" s="5"/>
      <c r="Y935" s="6"/>
      <c r="Z935" s="5"/>
    </row>
    <row r="936">
      <c r="E936" s="21"/>
      <c r="G936" s="13"/>
      <c r="I936" s="13"/>
      <c r="J936" s="17"/>
      <c r="K936" s="20"/>
      <c r="M936" s="13"/>
      <c r="N936" s="22"/>
      <c r="O936" s="13"/>
      <c r="R936" s="13"/>
      <c r="S936" s="22"/>
      <c r="U936" s="23"/>
      <c r="V936" s="5"/>
      <c r="W936" s="5"/>
      <c r="X936" s="5"/>
      <c r="Y936" s="6"/>
      <c r="Z936" s="5"/>
    </row>
    <row r="937">
      <c r="E937" s="21"/>
      <c r="G937" s="13"/>
      <c r="I937" s="13"/>
      <c r="J937" s="17"/>
      <c r="K937" s="20"/>
      <c r="M937" s="13"/>
      <c r="N937" s="22"/>
      <c r="O937" s="13"/>
      <c r="R937" s="13"/>
      <c r="S937" s="22"/>
      <c r="U937" s="23"/>
      <c r="V937" s="5"/>
      <c r="W937" s="5"/>
      <c r="X937" s="5"/>
      <c r="Y937" s="6"/>
      <c r="Z937" s="5"/>
    </row>
    <row r="938">
      <c r="E938" s="21"/>
      <c r="G938" s="13"/>
      <c r="I938" s="13"/>
      <c r="J938" s="17"/>
      <c r="K938" s="20"/>
      <c r="M938" s="13"/>
      <c r="N938" s="22"/>
      <c r="O938" s="13"/>
      <c r="R938" s="13"/>
      <c r="S938" s="22"/>
      <c r="U938" s="23"/>
      <c r="V938" s="5"/>
      <c r="W938" s="5"/>
      <c r="X938" s="5"/>
      <c r="Y938" s="6"/>
      <c r="Z938" s="5"/>
    </row>
    <row r="939">
      <c r="E939" s="21"/>
      <c r="G939" s="13"/>
      <c r="I939" s="13"/>
      <c r="J939" s="17"/>
      <c r="K939" s="20"/>
      <c r="M939" s="13"/>
      <c r="N939" s="22"/>
      <c r="O939" s="13"/>
      <c r="R939" s="13"/>
      <c r="S939" s="22"/>
      <c r="U939" s="23"/>
      <c r="V939" s="5"/>
      <c r="W939" s="5"/>
      <c r="X939" s="5"/>
      <c r="Y939" s="6"/>
      <c r="Z939" s="5"/>
    </row>
    <row r="940">
      <c r="E940" s="21"/>
      <c r="G940" s="13"/>
      <c r="I940" s="13"/>
      <c r="J940" s="17"/>
      <c r="K940" s="20"/>
      <c r="M940" s="13"/>
      <c r="N940" s="22"/>
      <c r="O940" s="13"/>
      <c r="R940" s="13"/>
      <c r="S940" s="22"/>
      <c r="U940" s="23"/>
      <c r="V940" s="5"/>
      <c r="W940" s="5"/>
      <c r="X940" s="5"/>
      <c r="Y940" s="6"/>
      <c r="Z940" s="5"/>
    </row>
    <row r="941">
      <c r="E941" s="21"/>
      <c r="G941" s="13"/>
      <c r="I941" s="13"/>
      <c r="J941" s="17"/>
      <c r="K941" s="20"/>
      <c r="M941" s="13"/>
      <c r="N941" s="22"/>
      <c r="O941" s="13"/>
      <c r="R941" s="13"/>
      <c r="S941" s="22"/>
      <c r="U941" s="23"/>
      <c r="V941" s="5"/>
      <c r="W941" s="5"/>
      <c r="X941" s="5"/>
      <c r="Y941" s="6"/>
      <c r="Z941" s="5"/>
    </row>
    <row r="942">
      <c r="E942" s="21"/>
      <c r="G942" s="13"/>
      <c r="I942" s="13"/>
      <c r="J942" s="17"/>
      <c r="K942" s="20"/>
      <c r="M942" s="13"/>
      <c r="N942" s="22"/>
      <c r="O942" s="13"/>
      <c r="R942" s="13"/>
      <c r="S942" s="22"/>
      <c r="U942" s="23"/>
      <c r="V942" s="5"/>
      <c r="W942" s="5"/>
      <c r="X942" s="5"/>
      <c r="Y942" s="6"/>
      <c r="Z942" s="5"/>
    </row>
    <row r="943">
      <c r="E943" s="21"/>
      <c r="G943" s="13"/>
      <c r="I943" s="13"/>
      <c r="J943" s="17"/>
      <c r="K943" s="20"/>
      <c r="M943" s="13"/>
      <c r="N943" s="22"/>
      <c r="O943" s="13"/>
      <c r="R943" s="13"/>
      <c r="S943" s="22"/>
      <c r="U943" s="23"/>
      <c r="V943" s="5"/>
      <c r="W943" s="5"/>
      <c r="X943" s="5"/>
      <c r="Y943" s="6"/>
      <c r="Z943" s="5"/>
    </row>
    <row r="944">
      <c r="E944" s="21"/>
      <c r="G944" s="13"/>
      <c r="I944" s="13"/>
      <c r="J944" s="17"/>
      <c r="K944" s="20"/>
      <c r="M944" s="13"/>
      <c r="N944" s="22"/>
      <c r="O944" s="13"/>
      <c r="R944" s="13"/>
      <c r="S944" s="22"/>
      <c r="U944" s="23"/>
      <c r="V944" s="5"/>
      <c r="W944" s="5"/>
      <c r="X944" s="5"/>
      <c r="Y944" s="6"/>
      <c r="Z944" s="5"/>
    </row>
    <row r="945">
      <c r="E945" s="21"/>
      <c r="G945" s="13"/>
      <c r="I945" s="13"/>
      <c r="J945" s="17"/>
      <c r="K945" s="20"/>
      <c r="M945" s="13"/>
      <c r="N945" s="22"/>
      <c r="O945" s="13"/>
      <c r="R945" s="13"/>
      <c r="S945" s="22"/>
      <c r="U945" s="23"/>
      <c r="V945" s="5"/>
      <c r="W945" s="5"/>
      <c r="X945" s="5"/>
      <c r="Y945" s="6"/>
      <c r="Z945" s="5"/>
    </row>
    <row r="946">
      <c r="E946" s="21"/>
      <c r="G946" s="13"/>
      <c r="I946" s="13"/>
      <c r="J946" s="17"/>
      <c r="K946" s="20"/>
      <c r="M946" s="13"/>
      <c r="N946" s="22"/>
      <c r="O946" s="13"/>
      <c r="R946" s="13"/>
      <c r="S946" s="22"/>
      <c r="U946" s="23"/>
      <c r="V946" s="5"/>
      <c r="W946" s="5"/>
      <c r="X946" s="5"/>
      <c r="Y946" s="6"/>
      <c r="Z946" s="5"/>
    </row>
    <row r="947">
      <c r="E947" s="21"/>
      <c r="G947" s="13"/>
      <c r="I947" s="13"/>
      <c r="J947" s="17"/>
      <c r="K947" s="20"/>
      <c r="M947" s="13"/>
      <c r="N947" s="22"/>
      <c r="O947" s="13"/>
      <c r="R947" s="13"/>
      <c r="S947" s="22"/>
      <c r="U947" s="23"/>
      <c r="V947" s="5"/>
      <c r="W947" s="5"/>
      <c r="X947" s="5"/>
      <c r="Y947" s="6"/>
      <c r="Z947" s="5"/>
    </row>
    <row r="948">
      <c r="E948" s="21"/>
      <c r="G948" s="13"/>
      <c r="I948" s="13"/>
      <c r="J948" s="17"/>
      <c r="K948" s="20"/>
      <c r="M948" s="13"/>
      <c r="N948" s="22"/>
      <c r="O948" s="13"/>
      <c r="R948" s="13"/>
      <c r="S948" s="22"/>
      <c r="U948" s="23"/>
      <c r="V948" s="5"/>
      <c r="W948" s="5"/>
      <c r="X948" s="5"/>
      <c r="Y948" s="6"/>
      <c r="Z948" s="5"/>
    </row>
    <row r="949">
      <c r="E949" s="21"/>
      <c r="G949" s="13"/>
      <c r="I949" s="13"/>
      <c r="J949" s="17"/>
      <c r="K949" s="20"/>
      <c r="M949" s="13"/>
      <c r="N949" s="22"/>
      <c r="O949" s="13"/>
      <c r="R949" s="13"/>
      <c r="S949" s="22"/>
      <c r="U949" s="23"/>
      <c r="V949" s="5"/>
      <c r="W949" s="5"/>
      <c r="X949" s="5"/>
      <c r="Y949" s="6"/>
      <c r="Z949" s="5"/>
    </row>
    <row r="950">
      <c r="E950" s="21"/>
      <c r="G950" s="13"/>
      <c r="I950" s="13"/>
      <c r="J950" s="17"/>
      <c r="K950" s="20"/>
      <c r="M950" s="13"/>
      <c r="N950" s="22"/>
      <c r="O950" s="13"/>
      <c r="R950" s="13"/>
      <c r="S950" s="22"/>
      <c r="U950" s="23"/>
      <c r="V950" s="5"/>
      <c r="W950" s="5"/>
      <c r="X950" s="5"/>
      <c r="Y950" s="6"/>
      <c r="Z950" s="5"/>
    </row>
    <row r="951">
      <c r="E951" s="21"/>
      <c r="G951" s="13"/>
      <c r="I951" s="13"/>
      <c r="J951" s="17"/>
      <c r="K951" s="20"/>
      <c r="M951" s="13"/>
      <c r="N951" s="22"/>
      <c r="O951" s="13"/>
      <c r="R951" s="13"/>
      <c r="S951" s="22"/>
      <c r="U951" s="23"/>
      <c r="V951" s="5"/>
      <c r="W951" s="5"/>
      <c r="X951" s="5"/>
      <c r="Y951" s="6"/>
      <c r="Z951" s="5"/>
    </row>
    <row r="952">
      <c r="E952" s="21"/>
      <c r="G952" s="13"/>
      <c r="I952" s="13"/>
      <c r="J952" s="17"/>
      <c r="K952" s="20"/>
      <c r="M952" s="13"/>
      <c r="N952" s="22"/>
      <c r="O952" s="13"/>
      <c r="R952" s="13"/>
      <c r="S952" s="22"/>
      <c r="U952" s="23"/>
      <c r="V952" s="5"/>
      <c r="W952" s="5"/>
      <c r="X952" s="5"/>
      <c r="Y952" s="6"/>
      <c r="Z952" s="5"/>
    </row>
    <row r="953">
      <c r="E953" s="21"/>
      <c r="G953" s="13"/>
      <c r="I953" s="13"/>
      <c r="J953" s="17"/>
      <c r="K953" s="20"/>
      <c r="M953" s="13"/>
      <c r="N953" s="22"/>
      <c r="O953" s="13"/>
      <c r="R953" s="13"/>
      <c r="S953" s="22"/>
      <c r="U953" s="23"/>
      <c r="V953" s="5"/>
      <c r="W953" s="5"/>
      <c r="X953" s="5"/>
      <c r="Y953" s="6"/>
      <c r="Z953" s="5"/>
    </row>
    <row r="954">
      <c r="E954" s="21"/>
      <c r="G954" s="13"/>
      <c r="I954" s="13"/>
      <c r="J954" s="17"/>
      <c r="K954" s="20"/>
      <c r="M954" s="13"/>
      <c r="N954" s="22"/>
      <c r="O954" s="13"/>
      <c r="R954" s="13"/>
      <c r="S954" s="22"/>
      <c r="U954" s="23"/>
      <c r="V954" s="5"/>
      <c r="W954" s="5"/>
      <c r="X954" s="5"/>
      <c r="Y954" s="6"/>
      <c r="Z954" s="5"/>
    </row>
    <row r="955">
      <c r="E955" s="21"/>
      <c r="G955" s="13"/>
      <c r="I955" s="13"/>
      <c r="J955" s="17"/>
      <c r="K955" s="20"/>
      <c r="M955" s="13"/>
      <c r="N955" s="22"/>
      <c r="O955" s="13"/>
      <c r="R955" s="13"/>
      <c r="S955" s="22"/>
      <c r="U955" s="23"/>
      <c r="V955" s="5"/>
      <c r="W955" s="5"/>
      <c r="X955" s="5"/>
      <c r="Y955" s="6"/>
      <c r="Z955" s="5"/>
    </row>
    <row r="956">
      <c r="E956" s="21"/>
      <c r="G956" s="13"/>
      <c r="I956" s="13"/>
      <c r="J956" s="17"/>
      <c r="K956" s="20"/>
      <c r="M956" s="13"/>
      <c r="N956" s="22"/>
      <c r="O956" s="13"/>
      <c r="R956" s="13"/>
      <c r="S956" s="22"/>
      <c r="U956" s="23"/>
      <c r="V956" s="5"/>
      <c r="W956" s="5"/>
      <c r="X956" s="5"/>
      <c r="Y956" s="6"/>
      <c r="Z956" s="5"/>
    </row>
    <row r="957">
      <c r="E957" s="21"/>
      <c r="G957" s="13"/>
      <c r="I957" s="13"/>
      <c r="J957" s="17"/>
      <c r="K957" s="20"/>
      <c r="M957" s="13"/>
      <c r="N957" s="22"/>
      <c r="O957" s="13"/>
      <c r="R957" s="13"/>
      <c r="S957" s="22"/>
      <c r="U957" s="23"/>
      <c r="V957" s="5"/>
      <c r="W957" s="5"/>
      <c r="X957" s="5"/>
      <c r="Y957" s="6"/>
      <c r="Z957" s="5"/>
    </row>
    <row r="958">
      <c r="E958" s="21"/>
      <c r="G958" s="13"/>
      <c r="I958" s="13"/>
      <c r="J958" s="17"/>
      <c r="K958" s="20"/>
      <c r="M958" s="13"/>
      <c r="N958" s="22"/>
      <c r="O958" s="13"/>
      <c r="R958" s="13"/>
      <c r="S958" s="22"/>
      <c r="U958" s="23"/>
      <c r="V958" s="5"/>
      <c r="W958" s="5"/>
      <c r="X958" s="5"/>
      <c r="Y958" s="6"/>
      <c r="Z958" s="5"/>
    </row>
    <row r="959">
      <c r="E959" s="21"/>
      <c r="G959" s="13"/>
      <c r="I959" s="13"/>
      <c r="J959" s="17"/>
      <c r="K959" s="20"/>
      <c r="M959" s="13"/>
      <c r="N959" s="22"/>
      <c r="O959" s="13"/>
      <c r="R959" s="13"/>
      <c r="S959" s="22"/>
      <c r="U959" s="23"/>
      <c r="V959" s="5"/>
      <c r="W959" s="5"/>
      <c r="X959" s="5"/>
      <c r="Y959" s="6"/>
      <c r="Z959" s="5"/>
    </row>
    <row r="960">
      <c r="E960" s="21"/>
      <c r="G960" s="13"/>
      <c r="I960" s="13"/>
      <c r="J960" s="17"/>
      <c r="K960" s="20"/>
      <c r="M960" s="13"/>
      <c r="N960" s="22"/>
      <c r="O960" s="13"/>
      <c r="R960" s="13"/>
      <c r="S960" s="22"/>
      <c r="U960" s="23"/>
      <c r="V960" s="5"/>
      <c r="W960" s="5"/>
      <c r="X960" s="5"/>
      <c r="Y960" s="6"/>
      <c r="Z960" s="5"/>
    </row>
    <row r="961">
      <c r="E961" s="21"/>
      <c r="G961" s="13"/>
      <c r="I961" s="13"/>
      <c r="J961" s="17"/>
      <c r="K961" s="20"/>
      <c r="M961" s="13"/>
      <c r="N961" s="22"/>
      <c r="O961" s="13"/>
      <c r="R961" s="13"/>
      <c r="S961" s="22"/>
      <c r="U961" s="23"/>
      <c r="V961" s="5"/>
      <c r="W961" s="5"/>
      <c r="X961" s="5"/>
      <c r="Y961" s="6"/>
      <c r="Z961" s="5"/>
    </row>
    <row r="962">
      <c r="E962" s="21"/>
      <c r="G962" s="13"/>
      <c r="I962" s="13"/>
      <c r="J962" s="17"/>
      <c r="K962" s="20"/>
      <c r="M962" s="13"/>
      <c r="N962" s="22"/>
      <c r="O962" s="13"/>
      <c r="R962" s="13"/>
      <c r="S962" s="22"/>
      <c r="U962" s="23"/>
      <c r="V962" s="5"/>
      <c r="W962" s="5"/>
      <c r="X962" s="5"/>
      <c r="Y962" s="6"/>
      <c r="Z962" s="5"/>
    </row>
    <row r="963">
      <c r="E963" s="21"/>
      <c r="G963" s="13"/>
      <c r="I963" s="13"/>
      <c r="J963" s="17"/>
      <c r="K963" s="20"/>
      <c r="M963" s="13"/>
      <c r="N963" s="22"/>
      <c r="O963" s="13"/>
      <c r="R963" s="13"/>
      <c r="S963" s="22"/>
      <c r="U963" s="23"/>
      <c r="V963" s="5"/>
      <c r="W963" s="5"/>
      <c r="X963" s="5"/>
      <c r="Y963" s="6"/>
      <c r="Z963" s="5"/>
    </row>
    <row r="964">
      <c r="E964" s="21"/>
      <c r="G964" s="13"/>
      <c r="I964" s="13"/>
      <c r="J964" s="17"/>
      <c r="K964" s="20"/>
      <c r="M964" s="13"/>
      <c r="N964" s="22"/>
      <c r="O964" s="13"/>
      <c r="R964" s="13"/>
      <c r="S964" s="22"/>
      <c r="U964" s="23"/>
      <c r="V964" s="5"/>
      <c r="W964" s="5"/>
      <c r="X964" s="5"/>
      <c r="Y964" s="6"/>
      <c r="Z964" s="5"/>
    </row>
    <row r="965">
      <c r="E965" s="21"/>
      <c r="G965" s="13"/>
      <c r="I965" s="13"/>
      <c r="J965" s="17"/>
      <c r="K965" s="20"/>
      <c r="M965" s="13"/>
      <c r="N965" s="22"/>
      <c r="O965" s="13"/>
      <c r="R965" s="13"/>
      <c r="S965" s="22"/>
      <c r="U965" s="23"/>
      <c r="V965" s="5"/>
      <c r="W965" s="5"/>
      <c r="X965" s="5"/>
      <c r="Y965" s="6"/>
      <c r="Z965" s="5"/>
    </row>
    <row r="966">
      <c r="E966" s="21"/>
      <c r="G966" s="13"/>
      <c r="I966" s="13"/>
      <c r="J966" s="17"/>
      <c r="K966" s="20"/>
      <c r="M966" s="13"/>
      <c r="N966" s="22"/>
      <c r="O966" s="13"/>
      <c r="R966" s="13"/>
      <c r="S966" s="22"/>
      <c r="U966" s="23"/>
      <c r="V966" s="5"/>
      <c r="W966" s="5"/>
      <c r="X966" s="5"/>
      <c r="Y966" s="6"/>
      <c r="Z966" s="5"/>
    </row>
    <row r="967">
      <c r="E967" s="21"/>
      <c r="G967" s="13"/>
      <c r="I967" s="13"/>
      <c r="J967" s="17"/>
      <c r="K967" s="20"/>
      <c r="M967" s="13"/>
      <c r="N967" s="22"/>
      <c r="O967" s="13"/>
      <c r="R967" s="13"/>
      <c r="S967" s="22"/>
      <c r="U967" s="23"/>
      <c r="V967" s="5"/>
      <c r="W967" s="5"/>
      <c r="X967" s="5"/>
      <c r="Y967" s="6"/>
      <c r="Z967" s="5"/>
    </row>
    <row r="968">
      <c r="E968" s="21"/>
      <c r="G968" s="13"/>
      <c r="I968" s="13"/>
      <c r="J968" s="17"/>
      <c r="K968" s="20"/>
      <c r="M968" s="13"/>
      <c r="N968" s="22"/>
      <c r="O968" s="13"/>
      <c r="R968" s="13"/>
      <c r="S968" s="22"/>
      <c r="U968" s="23"/>
      <c r="V968" s="5"/>
      <c r="W968" s="5"/>
      <c r="X968" s="5"/>
      <c r="Y968" s="6"/>
      <c r="Z968" s="5"/>
    </row>
    <row r="969">
      <c r="E969" s="21"/>
      <c r="G969" s="13"/>
      <c r="I969" s="13"/>
      <c r="J969" s="17"/>
      <c r="K969" s="20"/>
      <c r="M969" s="13"/>
      <c r="N969" s="22"/>
      <c r="O969" s="13"/>
      <c r="R969" s="13"/>
      <c r="S969" s="22"/>
      <c r="U969" s="23"/>
      <c r="V969" s="5"/>
      <c r="W969" s="5"/>
      <c r="X969" s="5"/>
      <c r="Y969" s="6"/>
      <c r="Z969" s="5"/>
    </row>
    <row r="970">
      <c r="E970" s="21"/>
      <c r="G970" s="13"/>
      <c r="I970" s="13"/>
      <c r="J970" s="17"/>
      <c r="K970" s="20"/>
      <c r="M970" s="13"/>
      <c r="N970" s="22"/>
      <c r="O970" s="13"/>
      <c r="R970" s="13"/>
      <c r="S970" s="22"/>
      <c r="U970" s="23"/>
      <c r="V970" s="5"/>
      <c r="W970" s="5"/>
      <c r="X970" s="5"/>
      <c r="Y970" s="6"/>
      <c r="Z970" s="5"/>
    </row>
    <row r="971">
      <c r="E971" s="21"/>
      <c r="G971" s="13"/>
      <c r="I971" s="13"/>
      <c r="J971" s="17"/>
      <c r="K971" s="20"/>
      <c r="M971" s="13"/>
      <c r="N971" s="22"/>
      <c r="O971" s="13"/>
      <c r="R971" s="13"/>
      <c r="S971" s="22"/>
      <c r="U971" s="23"/>
      <c r="V971" s="5"/>
      <c r="W971" s="5"/>
      <c r="X971" s="5"/>
      <c r="Y971" s="6"/>
      <c r="Z971" s="5"/>
    </row>
    <row r="972">
      <c r="E972" s="21"/>
      <c r="G972" s="13"/>
      <c r="I972" s="13"/>
      <c r="J972" s="17"/>
      <c r="K972" s="20"/>
      <c r="M972" s="13"/>
      <c r="N972" s="22"/>
      <c r="O972" s="13"/>
      <c r="R972" s="13"/>
      <c r="S972" s="22"/>
      <c r="U972" s="23"/>
      <c r="V972" s="5"/>
      <c r="W972" s="5"/>
      <c r="X972" s="5"/>
      <c r="Y972" s="6"/>
      <c r="Z972" s="5"/>
    </row>
    <row r="973">
      <c r="E973" s="21"/>
      <c r="G973" s="13"/>
      <c r="I973" s="13"/>
      <c r="J973" s="17"/>
      <c r="K973" s="20"/>
      <c r="M973" s="13"/>
      <c r="N973" s="22"/>
      <c r="O973" s="13"/>
      <c r="R973" s="13"/>
      <c r="S973" s="22"/>
      <c r="U973" s="23"/>
      <c r="V973" s="5"/>
      <c r="W973" s="5"/>
      <c r="X973" s="5"/>
      <c r="Y973" s="6"/>
      <c r="Z973" s="5"/>
    </row>
    <row r="974">
      <c r="E974" s="21"/>
      <c r="G974" s="13"/>
      <c r="I974" s="13"/>
      <c r="J974" s="17"/>
      <c r="K974" s="20"/>
      <c r="M974" s="13"/>
      <c r="N974" s="22"/>
      <c r="O974" s="13"/>
      <c r="R974" s="13"/>
      <c r="S974" s="22"/>
      <c r="U974" s="23"/>
      <c r="V974" s="5"/>
      <c r="W974" s="5"/>
      <c r="X974" s="5"/>
      <c r="Y974" s="6"/>
      <c r="Z974" s="5"/>
    </row>
    <row r="975">
      <c r="E975" s="21"/>
      <c r="G975" s="13"/>
      <c r="I975" s="13"/>
      <c r="J975" s="17"/>
      <c r="K975" s="20"/>
      <c r="M975" s="13"/>
      <c r="N975" s="22"/>
      <c r="O975" s="13"/>
      <c r="R975" s="13"/>
      <c r="S975" s="22"/>
      <c r="U975" s="23"/>
      <c r="V975" s="5"/>
      <c r="W975" s="5"/>
      <c r="X975" s="5"/>
      <c r="Y975" s="6"/>
      <c r="Z975" s="5"/>
    </row>
    <row r="976">
      <c r="E976" s="21"/>
      <c r="G976" s="13"/>
      <c r="I976" s="13"/>
      <c r="J976" s="17"/>
      <c r="K976" s="20"/>
      <c r="M976" s="13"/>
      <c r="N976" s="22"/>
      <c r="O976" s="13"/>
      <c r="R976" s="13"/>
      <c r="S976" s="22"/>
      <c r="U976" s="23"/>
      <c r="V976" s="5"/>
      <c r="W976" s="5"/>
      <c r="X976" s="5"/>
      <c r="Y976" s="6"/>
      <c r="Z976" s="5"/>
    </row>
    <row r="977">
      <c r="E977" s="21"/>
      <c r="G977" s="13"/>
      <c r="I977" s="13"/>
      <c r="J977" s="17"/>
      <c r="K977" s="20"/>
      <c r="M977" s="13"/>
      <c r="N977" s="22"/>
      <c r="O977" s="13"/>
      <c r="R977" s="13"/>
      <c r="S977" s="22"/>
      <c r="U977" s="23"/>
      <c r="V977" s="5"/>
      <c r="W977" s="5"/>
      <c r="X977" s="5"/>
      <c r="Y977" s="6"/>
      <c r="Z977" s="5"/>
    </row>
    <row r="978">
      <c r="E978" s="21"/>
      <c r="G978" s="13"/>
      <c r="I978" s="13"/>
      <c r="J978" s="17"/>
      <c r="K978" s="20"/>
      <c r="M978" s="13"/>
      <c r="N978" s="22"/>
      <c r="O978" s="13"/>
      <c r="R978" s="13"/>
      <c r="S978" s="22"/>
      <c r="U978" s="23"/>
      <c r="V978" s="5"/>
      <c r="W978" s="5"/>
      <c r="X978" s="5"/>
      <c r="Y978" s="6"/>
      <c r="Z978" s="5"/>
    </row>
    <row r="979">
      <c r="E979" s="21"/>
      <c r="G979" s="13"/>
      <c r="I979" s="13"/>
      <c r="J979" s="17"/>
      <c r="K979" s="20"/>
      <c r="M979" s="13"/>
      <c r="N979" s="22"/>
      <c r="O979" s="13"/>
      <c r="R979" s="13"/>
      <c r="S979" s="22"/>
      <c r="U979" s="23"/>
      <c r="V979" s="5"/>
      <c r="W979" s="5"/>
      <c r="X979" s="5"/>
      <c r="Y979" s="6"/>
      <c r="Z979" s="5"/>
    </row>
    <row r="980">
      <c r="E980" s="21"/>
      <c r="G980" s="13"/>
      <c r="I980" s="13"/>
      <c r="J980" s="17"/>
      <c r="K980" s="20"/>
      <c r="M980" s="13"/>
      <c r="N980" s="22"/>
      <c r="O980" s="13"/>
      <c r="R980" s="13"/>
      <c r="S980" s="22"/>
      <c r="U980" s="23"/>
      <c r="V980" s="5"/>
      <c r="W980" s="5"/>
      <c r="X980" s="5"/>
      <c r="Y980" s="6"/>
      <c r="Z980" s="5"/>
    </row>
    <row r="981">
      <c r="E981" s="21"/>
      <c r="G981" s="13"/>
      <c r="I981" s="13"/>
      <c r="J981" s="17"/>
      <c r="K981" s="20"/>
      <c r="M981" s="13"/>
      <c r="N981" s="22"/>
      <c r="O981" s="13"/>
      <c r="R981" s="13"/>
      <c r="S981" s="22"/>
      <c r="U981" s="23"/>
      <c r="V981" s="5"/>
      <c r="W981" s="5"/>
      <c r="X981" s="5"/>
      <c r="Y981" s="6"/>
      <c r="Z981" s="5"/>
    </row>
    <row r="982">
      <c r="E982" s="21"/>
      <c r="G982" s="13"/>
      <c r="I982" s="13"/>
      <c r="J982" s="17"/>
      <c r="K982" s="20"/>
      <c r="M982" s="13"/>
      <c r="N982" s="22"/>
      <c r="O982" s="13"/>
      <c r="R982" s="13"/>
      <c r="S982" s="22"/>
      <c r="U982" s="23"/>
      <c r="V982" s="5"/>
      <c r="W982" s="5"/>
      <c r="X982" s="5"/>
      <c r="Y982" s="6"/>
      <c r="Z98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8.88"/>
  </cols>
  <sheetData>
    <row r="1" ht="22.5" customHeight="1">
      <c r="A1" s="24" t="s">
        <v>0</v>
      </c>
      <c r="B1" s="24" t="s">
        <v>369</v>
      </c>
      <c r="C1" s="24" t="s">
        <v>11</v>
      </c>
      <c r="D1" s="24" t="s">
        <v>370</v>
      </c>
      <c r="E1" s="25"/>
      <c r="F1" s="25"/>
      <c r="G1" s="25"/>
      <c r="H1" s="25"/>
      <c r="I1" s="25"/>
    </row>
    <row r="2" ht="22.5" customHeight="1">
      <c r="A2" s="26">
        <v>45778.0</v>
      </c>
      <c r="B2" s="27">
        <v>57.0</v>
      </c>
      <c r="C2" s="28">
        <v>0.0</v>
      </c>
      <c r="D2" s="27">
        <v>57.0</v>
      </c>
    </row>
    <row r="3" ht="22.5" customHeight="1">
      <c r="A3" s="26">
        <v>45809.0</v>
      </c>
      <c r="B3" s="27">
        <v>5245.0</v>
      </c>
      <c r="C3" s="28">
        <v>-255.0</v>
      </c>
      <c r="D3" s="27">
        <v>4990.0</v>
      </c>
    </row>
    <row r="4" ht="22.5" customHeight="1">
      <c r="A4" s="26">
        <v>45839.0</v>
      </c>
      <c r="B4" s="27">
        <v>42511.0</v>
      </c>
      <c r="C4" s="28">
        <v>-17990.0</v>
      </c>
      <c r="D4" s="27">
        <v>24521.0</v>
      </c>
    </row>
    <row r="5" ht="22.5" customHeight="1">
      <c r="A5" s="26">
        <v>45870.0</v>
      </c>
      <c r="B5" s="27">
        <v>131307.0</v>
      </c>
      <c r="C5" s="28">
        <v>-68612.0</v>
      </c>
      <c r="D5" s="27">
        <v>62695.0</v>
      </c>
    </row>
    <row r="6" ht="22.5" customHeight="1">
      <c r="A6" s="26">
        <v>45901.0</v>
      </c>
      <c r="B6" s="27">
        <v>107436.0</v>
      </c>
      <c r="C6" s="28">
        <v>-64277.0</v>
      </c>
      <c r="D6" s="27">
        <v>43159.0</v>
      </c>
    </row>
    <row r="7" ht="22.5" customHeight="1">
      <c r="A7" s="26">
        <v>45931.0</v>
      </c>
      <c r="B7" s="27">
        <v>67336.0</v>
      </c>
      <c r="C7" s="28">
        <v>-89426.0</v>
      </c>
      <c r="D7" s="27">
        <v>-22090.0</v>
      </c>
    </row>
    <row r="8" ht="22.5" customHeight="1">
      <c r="A8" s="26">
        <v>45962.0</v>
      </c>
      <c r="B8" s="27">
        <v>137045.0</v>
      </c>
      <c r="C8" s="28">
        <v>-100633.0</v>
      </c>
      <c r="D8" s="27">
        <v>36412.0</v>
      </c>
    </row>
    <row r="9" ht="22.5" customHeight="1">
      <c r="A9" s="26">
        <v>45992.0</v>
      </c>
      <c r="B9" s="27">
        <v>83610.0</v>
      </c>
      <c r="C9" s="28">
        <v>-81751.0</v>
      </c>
      <c r="D9" s="27">
        <v>1859.0</v>
      </c>
    </row>
    <row r="10" ht="22.5" customHeight="1">
      <c r="A10" s="26">
        <v>46023.0</v>
      </c>
      <c r="B10" s="27">
        <v>108222.0</v>
      </c>
      <c r="C10" s="28">
        <v>-68920.0</v>
      </c>
      <c r="D10" s="27">
        <f>B10+C10</f>
        <v>39302</v>
      </c>
    </row>
    <row r="11">
      <c r="A11" s="1"/>
    </row>
  </sheetData>
  <dataValidations>
    <dataValidation type="custom" allowBlank="1" showDropDown="1" sqref="A2:A10">
      <formula1>OR(NOT(ISERROR(DATEVALUE(A2))), AND(ISNUMBER(A2), LEFT(CELL("format", A2))="D"))</formula1>
    </dataValidation>
    <dataValidation type="custom" allowBlank="1" showDropDown="1" sqref="B2:D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371</v>
      </c>
    </row>
    <row r="2">
      <c r="A2" s="29">
        <v>45880.0</v>
      </c>
      <c r="B2" s="1">
        <v>46854.0</v>
      </c>
      <c r="F2" s="30"/>
    </row>
    <row r="3">
      <c r="A3" s="29">
        <v>45887.0</v>
      </c>
      <c r="B3" s="1">
        <v>63417.0</v>
      </c>
      <c r="F3" s="30"/>
    </row>
    <row r="4">
      <c r="A4" s="29">
        <v>45895.0</v>
      </c>
      <c r="B4" s="1">
        <v>90344.0</v>
      </c>
      <c r="F4" s="30"/>
    </row>
    <row r="5">
      <c r="A5" s="29">
        <v>45901.0</v>
      </c>
      <c r="B5" s="1">
        <v>91783.0</v>
      </c>
      <c r="F5" s="30"/>
    </row>
    <row r="6">
      <c r="A6" s="29">
        <v>45915.0</v>
      </c>
      <c r="B6" s="1">
        <v>108240.0</v>
      </c>
      <c r="F6" s="30"/>
    </row>
    <row r="7">
      <c r="A7" s="29">
        <v>45922.0</v>
      </c>
      <c r="B7" s="1">
        <v>105633.0</v>
      </c>
      <c r="F7" s="30"/>
    </row>
    <row r="8">
      <c r="A8" s="29">
        <v>45929.0</v>
      </c>
      <c r="B8" s="1">
        <v>127344.0</v>
      </c>
      <c r="F8" s="30"/>
    </row>
    <row r="9" ht="18.75" customHeight="1">
      <c r="A9" s="29">
        <v>45937.0</v>
      </c>
      <c r="B9" s="1">
        <v>122835.0</v>
      </c>
      <c r="F9" s="30"/>
    </row>
    <row r="10">
      <c r="A10" s="29">
        <v>45953.0</v>
      </c>
      <c r="B10" s="1">
        <v>124727.0</v>
      </c>
    </row>
    <row r="11">
      <c r="A11" s="29">
        <v>46027.0</v>
      </c>
      <c r="B11" s="31">
        <v>174505.0</v>
      </c>
    </row>
    <row r="12">
      <c r="A12" s="29">
        <v>46034.0</v>
      </c>
      <c r="B12" s="31">
        <v>176755.0</v>
      </c>
      <c r="F12" s="30"/>
    </row>
    <row r="13">
      <c r="A13" s="29">
        <v>46049.0</v>
      </c>
      <c r="B13" s="1">
        <v>190916.0</v>
      </c>
      <c r="F13" s="30"/>
    </row>
    <row r="14">
      <c r="A14" s="29"/>
      <c r="F14" s="30"/>
    </row>
    <row r="15">
      <c r="A15" s="29"/>
      <c r="B15" s="29"/>
      <c r="F15" s="30"/>
    </row>
    <row r="16">
      <c r="A16" s="29"/>
      <c r="B16" s="29"/>
      <c r="F16" s="30"/>
    </row>
    <row r="17">
      <c r="A17" s="29"/>
      <c r="B17" s="29"/>
      <c r="F17" s="30"/>
    </row>
    <row r="18">
      <c r="A18" s="29"/>
      <c r="B18" s="29"/>
      <c r="F18" s="30"/>
    </row>
    <row r="19">
      <c r="A19" s="29"/>
      <c r="B19" s="29"/>
      <c r="F19" s="30"/>
    </row>
    <row r="20">
      <c r="A20" s="29"/>
      <c r="B20" s="29"/>
      <c r="F20" s="30"/>
    </row>
    <row r="21">
      <c r="A21" s="29"/>
      <c r="B21" s="29"/>
      <c r="F21" s="30"/>
    </row>
    <row r="22">
      <c r="A22" s="29"/>
      <c r="B22" s="29"/>
      <c r="F22" s="30"/>
    </row>
    <row r="23">
      <c r="F23" s="30"/>
    </row>
    <row r="24">
      <c r="F24" s="30"/>
    </row>
    <row r="25">
      <c r="A25" s="29"/>
      <c r="B25" s="29"/>
      <c r="F25" s="30"/>
    </row>
    <row r="26">
      <c r="A26" s="29"/>
      <c r="B26" s="29"/>
      <c r="F26" s="30"/>
    </row>
    <row r="27">
      <c r="A27" s="29"/>
      <c r="B27" s="29"/>
      <c r="F27" s="30"/>
    </row>
    <row r="28">
      <c r="A28" s="29"/>
      <c r="B28" s="29"/>
      <c r="F28" s="30"/>
    </row>
    <row r="29">
      <c r="A29" s="29"/>
      <c r="B29" s="29"/>
      <c r="F29" s="30"/>
    </row>
    <row r="30">
      <c r="A30" s="29"/>
      <c r="B30" s="29"/>
      <c r="F30" s="30"/>
    </row>
    <row r="31">
      <c r="A31" s="29"/>
      <c r="B31" s="29"/>
      <c r="F31" s="30"/>
    </row>
    <row r="32">
      <c r="A32" s="29"/>
      <c r="B32" s="29"/>
      <c r="F32" s="30"/>
    </row>
    <row r="33">
      <c r="A33" s="29"/>
      <c r="B33" s="29"/>
      <c r="F33" s="30"/>
    </row>
    <row r="34">
      <c r="A34" s="29"/>
      <c r="B34" s="29"/>
      <c r="F34" s="30"/>
    </row>
    <row r="35">
      <c r="A35" s="29"/>
      <c r="B35" s="29"/>
      <c r="F35" s="30"/>
    </row>
    <row r="36">
      <c r="A36" s="29"/>
      <c r="B36" s="29"/>
      <c r="F36" s="30"/>
    </row>
    <row r="37">
      <c r="A37" s="29"/>
      <c r="B37" s="29"/>
      <c r="F37" s="30"/>
    </row>
    <row r="38">
      <c r="A38" s="29"/>
      <c r="B38" s="29"/>
      <c r="F38" s="32"/>
    </row>
    <row r="39">
      <c r="A39" s="29"/>
      <c r="B39" s="29"/>
      <c r="F39" s="32"/>
    </row>
    <row r="40">
      <c r="A40" s="29"/>
      <c r="B40" s="29"/>
      <c r="F40" s="32"/>
    </row>
    <row r="41">
      <c r="A41" s="29"/>
      <c r="B41" s="29"/>
      <c r="F41" s="32"/>
    </row>
    <row r="42">
      <c r="A42" s="29"/>
      <c r="B42" s="29"/>
      <c r="F42" s="30"/>
    </row>
    <row r="43">
      <c r="A43" s="29"/>
      <c r="B43" s="29"/>
      <c r="F43" s="30"/>
    </row>
    <row r="44">
      <c r="A44" s="29"/>
      <c r="B44" s="29"/>
      <c r="F44" s="30"/>
    </row>
    <row r="45">
      <c r="A45" s="29"/>
      <c r="B45" s="29"/>
      <c r="F45" s="30"/>
    </row>
    <row r="46">
      <c r="A46" s="29"/>
      <c r="B46" s="29"/>
      <c r="F46" s="30"/>
    </row>
    <row r="47">
      <c r="A47" s="29"/>
      <c r="B47" s="29"/>
      <c r="F47" s="30"/>
    </row>
    <row r="48">
      <c r="A48" s="29"/>
      <c r="B48" s="29"/>
      <c r="F48" s="30"/>
    </row>
    <row r="49">
      <c r="A49" s="29"/>
      <c r="B49" s="29"/>
      <c r="F49" s="30"/>
    </row>
    <row r="50">
      <c r="A50" s="29"/>
      <c r="B50" s="29"/>
      <c r="F50" s="30"/>
    </row>
    <row r="51">
      <c r="A51" s="29"/>
      <c r="B51" s="29"/>
      <c r="F51" s="30"/>
    </row>
    <row r="52">
      <c r="A52" s="29"/>
      <c r="B52" s="29"/>
      <c r="F52" s="30"/>
    </row>
    <row r="53">
      <c r="A53" s="29"/>
      <c r="B53" s="29"/>
      <c r="F53" s="30"/>
    </row>
    <row r="54">
      <c r="A54" s="29"/>
      <c r="B54" s="29"/>
      <c r="F54" s="30"/>
    </row>
    <row r="55">
      <c r="A55" s="29"/>
      <c r="B55" s="29"/>
      <c r="F55" s="30"/>
    </row>
    <row r="56">
      <c r="A56" s="29"/>
      <c r="B56" s="29"/>
      <c r="F56" s="30"/>
    </row>
    <row r="57">
      <c r="A57" s="29"/>
      <c r="B57" s="29"/>
      <c r="F57" s="30"/>
    </row>
    <row r="58">
      <c r="A58" s="29"/>
      <c r="B58" s="29"/>
      <c r="F58" s="30"/>
    </row>
    <row r="59">
      <c r="A59" s="29"/>
      <c r="B59" s="29"/>
      <c r="F59" s="30"/>
    </row>
    <row r="60">
      <c r="A60" s="29"/>
      <c r="B60" s="29"/>
      <c r="F60" s="30"/>
    </row>
    <row r="61">
      <c r="A61" s="29"/>
      <c r="B61" s="29"/>
      <c r="F61" s="30"/>
    </row>
    <row r="62">
      <c r="A62" s="29"/>
      <c r="B62" s="29"/>
      <c r="F62" s="30"/>
    </row>
    <row r="63">
      <c r="A63" s="29"/>
      <c r="B63" s="29"/>
      <c r="F63" s="30"/>
    </row>
    <row r="64">
      <c r="A64" s="29"/>
      <c r="B64" s="29"/>
      <c r="F64" s="30"/>
    </row>
    <row r="65">
      <c r="A65" s="29"/>
      <c r="B65" s="29"/>
      <c r="F65" s="30"/>
    </row>
  </sheetData>
  <drawing r:id="rId1"/>
</worksheet>
</file>